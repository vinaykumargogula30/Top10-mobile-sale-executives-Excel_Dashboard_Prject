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hidePivotFieldList="1" defaultThemeVersion="202300"/>
  <mc:AlternateContent xmlns:mc="http://schemas.openxmlformats.org/markup-compatibility/2006">
    <mc:Choice Requires="x15">
      <x15ac:absPath xmlns:x15ac="http://schemas.microsoft.com/office/spreadsheetml/2010/11/ac" url="C:\Users\gogul\OneDrive\Documents\Desktop\DASHBOARDS\"/>
    </mc:Choice>
  </mc:AlternateContent>
  <xr:revisionPtr revIDLastSave="0" documentId="13_ncr:1_{B5D9A9EF-8B40-4A96-80EE-ADF15C0387CA}" xr6:coauthVersionLast="47" xr6:coauthVersionMax="47" xr10:uidLastSave="{00000000-0000-0000-0000-000000000000}"/>
  <bookViews>
    <workbookView xWindow="-110" yWindow="-110" windowWidth="19420" windowHeight="10300" xr2:uid="{7E419EF3-CE11-496B-918D-77E7CDD30787}"/>
  </bookViews>
  <sheets>
    <sheet name="Dashboard" sheetId="16" r:id="rId1"/>
    <sheet name="Raw-sheet" sheetId="1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51" i="11" l="1"/>
  <c r="M51" i="11" s="1"/>
  <c r="M50" i="11"/>
  <c r="K50" i="11"/>
  <c r="K49" i="11"/>
  <c r="M49" i="11" s="1"/>
  <c r="M48" i="11"/>
  <c r="K48" i="11"/>
  <c r="K47" i="11"/>
  <c r="M47" i="11" s="1"/>
  <c r="M46" i="11"/>
  <c r="K46" i="11"/>
  <c r="K45" i="11"/>
  <c r="M45" i="11" s="1"/>
  <c r="M44" i="11"/>
  <c r="K44" i="11"/>
  <c r="K43" i="11"/>
  <c r="M43" i="11" s="1"/>
  <c r="M42" i="11"/>
  <c r="K42" i="11"/>
  <c r="K41" i="11"/>
  <c r="M41" i="11" s="1"/>
  <c r="M40" i="11"/>
  <c r="K40" i="11"/>
  <c r="K39" i="11"/>
  <c r="M39" i="11" s="1"/>
  <c r="M38" i="11"/>
  <c r="K38" i="11"/>
  <c r="K37" i="11"/>
  <c r="M37" i="11" s="1"/>
  <c r="M36" i="11"/>
  <c r="K36" i="11"/>
  <c r="K35" i="11"/>
  <c r="M35" i="11" s="1"/>
  <c r="M34" i="11"/>
  <c r="K34" i="11"/>
  <c r="K33" i="11"/>
  <c r="M33" i="11" s="1"/>
  <c r="M32" i="11"/>
  <c r="K32" i="11"/>
  <c r="K31" i="11"/>
  <c r="M31" i="11" s="1"/>
  <c r="M30" i="11"/>
  <c r="K30" i="11"/>
  <c r="K29" i="11"/>
  <c r="M29" i="11" s="1"/>
  <c r="M28" i="11"/>
  <c r="K28" i="11"/>
  <c r="K27" i="11"/>
  <c r="M27" i="11" s="1"/>
  <c r="M26" i="11"/>
  <c r="K26" i="11"/>
  <c r="K25" i="11"/>
  <c r="M25" i="11" s="1"/>
  <c r="M24" i="11"/>
  <c r="K24" i="11"/>
  <c r="K23" i="11"/>
  <c r="M23" i="11" s="1"/>
  <c r="M22" i="11"/>
  <c r="K22" i="11"/>
  <c r="K21" i="11"/>
  <c r="M21" i="11" s="1"/>
  <c r="M20" i="11"/>
  <c r="K20" i="11"/>
  <c r="K19" i="11"/>
  <c r="M19" i="11" s="1"/>
  <c r="M18" i="11"/>
  <c r="K18" i="11"/>
  <c r="K17" i="11"/>
  <c r="M17" i="11" s="1"/>
  <c r="M16" i="11"/>
  <c r="K16" i="11"/>
  <c r="K15" i="11"/>
  <c r="M15" i="11" s="1"/>
  <c r="M14" i="11"/>
  <c r="K14" i="11"/>
  <c r="K13" i="11"/>
  <c r="M13" i="11" s="1"/>
  <c r="M12" i="11"/>
  <c r="K12" i="11"/>
  <c r="K11" i="11"/>
  <c r="M11" i="11" s="1"/>
  <c r="M10" i="11"/>
  <c r="K10" i="11"/>
  <c r="K9" i="11"/>
  <c r="M9" i="11" s="1"/>
  <c r="M8" i="11"/>
  <c r="K8" i="11"/>
  <c r="K7" i="11"/>
  <c r="M7" i="11" s="1"/>
  <c r="M6" i="11"/>
  <c r="K6" i="11"/>
  <c r="K5" i="11"/>
  <c r="M5" i="11" s="1"/>
  <c r="M4" i="11"/>
  <c r="K4" i="11"/>
  <c r="K3" i="11"/>
  <c r="M3" i="11" s="1"/>
  <c r="M2" i="11"/>
  <c r="K2" i="11"/>
</calcChain>
</file>

<file path=xl/sharedStrings.xml><?xml version="1.0" encoding="utf-8"?>
<sst xmlns="http://schemas.openxmlformats.org/spreadsheetml/2006/main" count="191" uniqueCount="124">
  <si>
    <t>MB001</t>
  </si>
  <si>
    <t>MB002</t>
  </si>
  <si>
    <t>MB003</t>
  </si>
  <si>
    <t>MB004</t>
  </si>
  <si>
    <t>MB005</t>
  </si>
  <si>
    <t>MB006</t>
  </si>
  <si>
    <t>MB007</t>
  </si>
  <si>
    <t>MB008</t>
  </si>
  <si>
    <t>MB009</t>
  </si>
  <si>
    <t>MB010</t>
  </si>
  <si>
    <t>MB011</t>
  </si>
  <si>
    <t>MB012</t>
  </si>
  <si>
    <t>MB013</t>
  </si>
  <si>
    <t>MB014</t>
  </si>
  <si>
    <t>MB015</t>
  </si>
  <si>
    <t>MB016</t>
  </si>
  <si>
    <t>MB017</t>
  </si>
  <si>
    <t>MB018</t>
  </si>
  <si>
    <t>MB019</t>
  </si>
  <si>
    <t>MB020</t>
  </si>
  <si>
    <t>MB021</t>
  </si>
  <si>
    <t>MB022</t>
  </si>
  <si>
    <t>MB023</t>
  </si>
  <si>
    <t>MB024</t>
  </si>
  <si>
    <t>MB025</t>
  </si>
  <si>
    <t>MB026</t>
  </si>
  <si>
    <t>MB027</t>
  </si>
  <si>
    <t>MB028</t>
  </si>
  <si>
    <t>MB029</t>
  </si>
  <si>
    <t>MB030</t>
  </si>
  <si>
    <t>MB031</t>
  </si>
  <si>
    <t>MB032</t>
  </si>
  <si>
    <t>MB033</t>
  </si>
  <si>
    <t>MB034</t>
  </si>
  <si>
    <t>MB035</t>
  </si>
  <si>
    <t>MB036</t>
  </si>
  <si>
    <t>MB037</t>
  </si>
  <si>
    <t>MB038</t>
  </si>
  <si>
    <t>MB039</t>
  </si>
  <si>
    <t>MB040</t>
  </si>
  <si>
    <t>MB041</t>
  </si>
  <si>
    <t>MB042</t>
  </si>
  <si>
    <t>MB043</t>
  </si>
  <si>
    <t>MB044</t>
  </si>
  <si>
    <t>MB045</t>
  </si>
  <si>
    <t>MB046</t>
  </si>
  <si>
    <t>MB047</t>
  </si>
  <si>
    <t>MB048</t>
  </si>
  <si>
    <t>MB049</t>
  </si>
  <si>
    <t>MB050</t>
  </si>
  <si>
    <t>Emp Id</t>
  </si>
  <si>
    <t>Sales Executive</t>
  </si>
  <si>
    <t>Nokia</t>
  </si>
  <si>
    <t>Samsung</t>
  </si>
  <si>
    <t>Apple</t>
  </si>
  <si>
    <t>Redmi</t>
  </si>
  <si>
    <t>Lava</t>
  </si>
  <si>
    <t>Realme</t>
  </si>
  <si>
    <t>Poco</t>
  </si>
  <si>
    <t>Total sales</t>
  </si>
  <si>
    <t>Vikas</t>
  </si>
  <si>
    <t>Arun</t>
  </si>
  <si>
    <t>Omkar</t>
  </si>
  <si>
    <t>Nihal</t>
  </si>
  <si>
    <t>Nikhil</t>
  </si>
  <si>
    <t>Pramod</t>
  </si>
  <si>
    <t>Prakash</t>
  </si>
  <si>
    <t>Ajith</t>
  </si>
  <si>
    <t>Bhanu</t>
  </si>
  <si>
    <t>Brahma</t>
  </si>
  <si>
    <t>Dinesh</t>
  </si>
  <si>
    <t>Dora</t>
  </si>
  <si>
    <t>Carol</t>
  </si>
  <si>
    <t>Govardhan</t>
  </si>
  <si>
    <t>Goutham</t>
  </si>
  <si>
    <t>Ganesh</t>
  </si>
  <si>
    <t>Hitesh</t>
  </si>
  <si>
    <t>Haran</t>
  </si>
  <si>
    <t>Janardhan</t>
  </si>
  <si>
    <t>Mahesh</t>
  </si>
  <si>
    <t>Srikanth</t>
  </si>
  <si>
    <t>Praveen</t>
  </si>
  <si>
    <t>Eshwar</t>
  </si>
  <si>
    <t>Naveen</t>
  </si>
  <si>
    <t>Gopal</t>
  </si>
  <si>
    <t>Likith</t>
  </si>
  <si>
    <t>Wasim</t>
  </si>
  <si>
    <t>Lovesh</t>
  </si>
  <si>
    <t>Jhonny</t>
  </si>
  <si>
    <t>Kumar</t>
  </si>
  <si>
    <t>Karthik</t>
  </si>
  <si>
    <t>Karan</t>
  </si>
  <si>
    <t>Poliesh</t>
  </si>
  <si>
    <t>Kapilesh</t>
  </si>
  <si>
    <t>Pavan</t>
  </si>
  <si>
    <t>Nithin</t>
  </si>
  <si>
    <t>Giri</t>
  </si>
  <si>
    <t>Deva</t>
  </si>
  <si>
    <t>Venu</t>
  </si>
  <si>
    <t xml:space="preserve">Harish </t>
  </si>
  <si>
    <t>Rahul</t>
  </si>
  <si>
    <t>Kritik</t>
  </si>
  <si>
    <t>Revanth</t>
  </si>
  <si>
    <t>Ravi</t>
  </si>
  <si>
    <t>Sohel</t>
  </si>
  <si>
    <t>Raju</t>
  </si>
  <si>
    <t>Kranti</t>
  </si>
  <si>
    <t>Yashwanth</t>
  </si>
  <si>
    <t>Mani</t>
  </si>
  <si>
    <t xml:space="preserve"> Target</t>
  </si>
  <si>
    <t>Kailash</t>
  </si>
  <si>
    <t>Percentage hit</t>
  </si>
  <si>
    <t>Region</t>
  </si>
  <si>
    <t>North</t>
  </si>
  <si>
    <t>South</t>
  </si>
  <si>
    <t>East</t>
  </si>
  <si>
    <t>West</t>
  </si>
  <si>
    <t>South East</t>
  </si>
  <si>
    <t>North East</t>
  </si>
  <si>
    <t>North west</t>
  </si>
  <si>
    <t>South west</t>
  </si>
  <si>
    <t xml:space="preserve"> Total sales</t>
  </si>
  <si>
    <t>Percentage  Hit</t>
  </si>
  <si>
    <t xml:space="preserve"> Percentage  Hit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</si>
</sst>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3" x14ac:knownFonts="1">
    <font>
      <sz val="11"/>
      <color theme="1"/>
      <name val="Aptos Narrow"/>
      <family val="2"/>
      <scheme val="minor"/>
    </font>
    <font>
      <sz val="11"/>
      <color theme="1"/>
      <name val="Times New Roman"/>
      <family val="1"/>
    </font>
    <font>
      <sz val="8"/>
      <color rgb="FF000000"/>
      <name val="Segoe UI"/>
      <family val="2"/>
    </font>
  </fonts>
  <fills count="4">
    <fill>
      <patternFill patternType="none"/>
    </fill>
    <fill>
      <patternFill patternType="gray125"/>
    </fill>
    <fill>
      <patternFill patternType="solid">
        <fgColor theme="6" tint="0.59999389629810485"/>
        <bgColor indexed="64"/>
      </patternFill>
    </fill>
    <fill>
      <patternFill patternType="solid">
        <fgColor theme="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9">
    <xf numFmtId="0" fontId="0" fillId="0" borderId="0" xfId="0"/>
    <xf numFmtId="0" fontId="1" fillId="2" borderId="1" xfId="0" applyFont="1" applyFill="1" applyBorder="1" applyAlignment="1">
      <alignment horizontal="center"/>
    </xf>
    <xf numFmtId="0" fontId="0" fillId="2" borderId="1" xfId="0" applyFill="1" applyBorder="1" applyAlignment="1">
      <alignment horizontal="center"/>
    </xf>
    <xf numFmtId="0" fontId="0" fillId="0" borderId="1" xfId="0" applyBorder="1"/>
    <xf numFmtId="0" fontId="0" fillId="0" borderId="1" xfId="0" applyFont="1" applyBorder="1"/>
    <xf numFmtId="0" fontId="0" fillId="0" borderId="0" xfId="0" pivotButton="1"/>
    <xf numFmtId="0" fontId="0" fillId="0" borderId="0" xfId="0" applyAlignment="1">
      <alignment horizontal="left"/>
    </xf>
    <xf numFmtId="0" fontId="0" fillId="0" borderId="0" xfId="0" applyNumberFormat="1"/>
    <xf numFmtId="0" fontId="0" fillId="3" borderId="0" xfId="0" applyFill="1"/>
  </cellXfs>
  <cellStyles count="1">
    <cellStyle name="Normal" xfId="0" builtinId="0"/>
  </cellStyles>
  <dxfs count="2">
    <dxf>
      <fill>
        <patternFill>
          <bgColor theme="6" tint="0.79998168889431442"/>
        </patternFill>
      </fill>
    </dxf>
    <dxf>
      <fill>
        <patternFill>
          <bgColor theme="1"/>
        </patternFill>
      </fill>
    </dxf>
  </dxfs>
  <tableStyles count="2" defaultTableStyle="TableStyleMedium2" defaultPivotStyle="PivotStyleLight16">
    <tableStyle name="Slicer Style 1" pivot="0" table="0" count="6" xr9:uid="{4DCEA4D1-1072-4857-B47B-798388DA809B}">
      <tableStyleElement type="wholeTable" dxfId="1"/>
    </tableStyle>
    <tableStyle name="Slicer Style 2" pivot="0" table="0" count="1" xr9:uid="{B2F30B88-CF18-448D-B93F-3634CB30F67A}">
      <tableStyleElement type="wholeTable" dxfId="0"/>
    </tableStyle>
  </tableStyles>
  <extLst>
    <ext xmlns:x14="http://schemas.microsoft.com/office/spreadsheetml/2009/9/main" uri="{46F421CA-312F-682f-3DD2-61675219B42D}">
      <x14:dxfs count="5">
        <dxf>
          <fill>
            <patternFill>
              <bgColor theme="2" tint="-9.9948118533890809E-2"/>
            </patternFill>
          </fill>
        </dxf>
        <dxf>
          <fill>
            <patternFill>
              <bgColor theme="0" tint="-4.9989318521683403E-2"/>
            </patternFill>
          </fill>
        </dxf>
        <dxf>
          <fill>
            <patternFill>
              <bgColor theme="4" tint="0.79998168889431442"/>
            </patternFill>
          </fill>
        </dxf>
        <dxf>
          <fill>
            <patternFill>
              <bgColor theme="5" tint="0.79998168889431442"/>
            </patternFill>
          </fill>
        </dxf>
        <dxf>
          <fill>
            <patternFill>
              <bgColor theme="4"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4"/>
            <x14:slicerStyleElement type="selectedItemWithData" dxfId="3"/>
            <x14:slicerStyleElement type="hoveredUnselectedItemWithData" dxfId="2"/>
            <x14:slicerStyleElement type="hoveredSelectedItemWithData" dxfId="1"/>
            <x14:slicerStyleElement type="hoveredSelectedItemWithNoData" dxfId="0"/>
          </x14:slicerStyleElements>
        </x14:slicerStyle>
        <x14:slicerStyle name="Slicer Style 2"/>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[01-project.xlsm]Dashboard!PivotTable34</c:name>
    <c:fmtId val="0"/>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Dashboard!$B$3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Dashboard!$A$4:$A$8</c:f>
              <c:strCache>
                <c:ptCount val="5"/>
                <c:pt idx="0">
                  <c:v>Gopal</c:v>
                </c:pt>
                <c:pt idx="1">
                  <c:v>Govardhan</c:v>
                </c:pt>
                <c:pt idx="2">
                  <c:v>Kranti</c:v>
                </c:pt>
                <c:pt idx="3">
                  <c:v>Kritik</c:v>
                </c:pt>
                <c:pt idx="4">
                  <c:v>Poliesh</c:v>
                </c:pt>
              </c:strCache>
            </c:strRef>
          </c:cat>
          <c:val>
            <c:numRef>
              <c:f>Dashboard!$B$4:$B$8</c:f>
              <c:numCache>
                <c:formatCode>General</c:formatCode>
                <c:ptCount val="5"/>
                <c:pt idx="0">
                  <c:v>539</c:v>
                </c:pt>
                <c:pt idx="1">
                  <c:v>480</c:v>
                </c:pt>
                <c:pt idx="2">
                  <c:v>488</c:v>
                </c:pt>
                <c:pt idx="3">
                  <c:v>482</c:v>
                </c:pt>
                <c:pt idx="4">
                  <c:v>552</c:v>
                </c:pt>
              </c:numCache>
            </c:numRef>
          </c:val>
          <c:extLst>
            <c:ext xmlns:c16="http://schemas.microsoft.com/office/drawing/2014/chart" uri="{C3380CC4-5D6E-409C-BE32-E72D297353CC}">
              <c16:uniqueId val="{00000000-CDA4-4B25-9CC4-22C2BF69D83A}"/>
            </c:ext>
          </c:extLst>
        </c:ser>
        <c:dLbls>
          <c:dLblPos val="inEnd"/>
          <c:showLegendKey val="0"/>
          <c:showVal val="1"/>
          <c:showCatName val="0"/>
          <c:showSerName val="0"/>
          <c:showPercent val="0"/>
          <c:showBubbleSize val="0"/>
        </c:dLbls>
        <c:gapWidth val="100"/>
        <c:overlap val="-24"/>
        <c:axId val="906572687"/>
        <c:axId val="906559727"/>
      </c:barChart>
      <c:catAx>
        <c:axId val="906572687"/>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906559727"/>
        <c:crosses val="autoZero"/>
        <c:auto val="1"/>
        <c:lblAlgn val="ctr"/>
        <c:lblOffset val="100"/>
        <c:noMultiLvlLbl val="0"/>
      </c:catAx>
      <c:valAx>
        <c:axId val="906559727"/>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90657268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[01-project.xlsm]Dashboard!PivotTable35</c:name>
    <c:fmtId val="0"/>
  </c:pivotSource>
  <c:chart>
    <c:autoTitleDeleted val="1"/>
    <c:pivotFmts>
      <c:pivotFmt>
        <c:idx val="0"/>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317500" algn="ctr" rotWithShape="0">
              <a:prstClr val="black">
                <a:alpha val="25000"/>
              </a:prstClr>
            </a:outerShdw>
          </a:effectLst>
        </c:spPr>
      </c:pivotFmt>
      <c:pivotFmt>
        <c:idx val="2"/>
        <c:spPr>
          <a:solidFill>
            <a:schemeClr val="accent1"/>
          </a:solidFill>
          <a:ln>
            <a:noFill/>
          </a:ln>
          <a:effectLst>
            <a:outerShdw blurRad="317500" algn="ctr" rotWithShape="0">
              <a:prstClr val="black">
                <a:alpha val="25000"/>
              </a:prstClr>
            </a:outerShdw>
          </a:effectLst>
        </c:spPr>
      </c:pivotFmt>
      <c:pivotFmt>
        <c:idx val="3"/>
        <c:spPr>
          <a:solidFill>
            <a:schemeClr val="accent1"/>
          </a:solidFill>
          <a:ln>
            <a:noFill/>
          </a:ln>
          <a:effectLst>
            <a:outerShdw blurRad="317500" algn="ctr" rotWithShape="0">
              <a:prstClr val="black">
                <a:alpha val="25000"/>
              </a:prstClr>
            </a:outerShdw>
          </a:effectLst>
        </c:spPr>
      </c:pivotFmt>
      <c:pivotFmt>
        <c:idx val="4"/>
        <c:spPr>
          <a:solidFill>
            <a:schemeClr val="accent1"/>
          </a:solidFill>
          <a:ln>
            <a:noFill/>
          </a:ln>
          <a:effectLst>
            <a:outerShdw blurRad="317500" algn="ctr" rotWithShape="0">
              <a:prstClr val="black">
                <a:alpha val="25000"/>
              </a:prstClr>
            </a:outerShdw>
          </a:effectLst>
        </c:spPr>
      </c:pivotFmt>
      <c:pivotFmt>
        <c:idx val="5"/>
        <c:spPr>
          <a:solidFill>
            <a:schemeClr val="accent1"/>
          </a:solidFill>
          <a:ln>
            <a:noFill/>
          </a:ln>
          <a:effectLst>
            <a:outerShdw blurRad="317500" algn="ctr" rotWithShape="0">
              <a:prstClr val="black">
                <a:alpha val="25000"/>
              </a:prstClr>
            </a:outerShdw>
          </a:effectLst>
        </c:spPr>
      </c:pivotFmt>
    </c:pivotFmts>
    <c:plotArea>
      <c:layout/>
      <c:pieChart>
        <c:varyColors val="1"/>
        <c:ser>
          <c:idx val="0"/>
          <c:order val="0"/>
          <c:tx>
            <c:strRef>
              <c:f>Dashboard!$E$3</c:f>
              <c:strCache>
                <c:ptCount val="1"/>
                <c:pt idx="0">
                  <c:v>Total</c:v>
                </c:pt>
              </c:strCache>
            </c:strRef>
          </c:tx>
          <c:dPt>
            <c:idx val="0"/>
            <c:bubble3D val="0"/>
            <c:spPr>
              <a:solidFill>
                <a:schemeClr val="accent1"/>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1-8748-4B1B-AB5F-3134F79EBD66}"/>
              </c:ext>
            </c:extLst>
          </c:dPt>
          <c:dPt>
            <c:idx val="1"/>
            <c:bubble3D val="0"/>
            <c:spPr>
              <a:solidFill>
                <a:schemeClr val="accent2"/>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8748-4B1B-AB5F-3134F79EBD66}"/>
              </c:ext>
            </c:extLst>
          </c:dPt>
          <c:dPt>
            <c:idx val="2"/>
            <c:bubble3D val="0"/>
            <c:spPr>
              <a:solidFill>
                <a:schemeClr val="accent3"/>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5-8748-4B1B-AB5F-3134F79EBD66}"/>
              </c:ext>
            </c:extLst>
          </c:dPt>
          <c:dPt>
            <c:idx val="3"/>
            <c:bubble3D val="0"/>
            <c:spPr>
              <a:solidFill>
                <a:schemeClr val="accent4"/>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7-8748-4B1B-AB5F-3134F79EBD66}"/>
              </c:ext>
            </c:extLst>
          </c:dPt>
          <c:dPt>
            <c:idx val="4"/>
            <c:bubble3D val="0"/>
            <c:spPr>
              <a:solidFill>
                <a:schemeClr val="accent5"/>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9-8748-4B1B-AB5F-3134F79EBD66}"/>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Dashboard!$D$4:$D$8</c:f>
              <c:strCache>
                <c:ptCount val="5"/>
                <c:pt idx="0">
                  <c:v>Carol</c:v>
                </c:pt>
                <c:pt idx="1">
                  <c:v>Mahesh</c:v>
                </c:pt>
                <c:pt idx="2">
                  <c:v>Mani</c:v>
                </c:pt>
                <c:pt idx="3">
                  <c:v>Pramod</c:v>
                </c:pt>
                <c:pt idx="4">
                  <c:v>Rahul</c:v>
                </c:pt>
              </c:strCache>
            </c:strRef>
          </c:cat>
          <c:val>
            <c:numRef>
              <c:f>Dashboard!$E$4:$E$8</c:f>
              <c:numCache>
                <c:formatCode>General</c:formatCode>
                <c:ptCount val="5"/>
                <c:pt idx="0">
                  <c:v>317</c:v>
                </c:pt>
                <c:pt idx="1">
                  <c:v>366</c:v>
                </c:pt>
                <c:pt idx="2">
                  <c:v>414</c:v>
                </c:pt>
                <c:pt idx="3">
                  <c:v>313</c:v>
                </c:pt>
                <c:pt idx="4">
                  <c:v>416</c:v>
                </c:pt>
              </c:numCache>
            </c:numRef>
          </c:val>
          <c:extLst>
            <c:ext xmlns:c16="http://schemas.microsoft.com/office/drawing/2014/chart" uri="{C3380CC4-5D6E-409C-BE32-E72D297353CC}">
              <c16:uniqueId val="{00000000-B629-4FFB-872E-895455E8BBBE}"/>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alpha val="78000"/>
          </a:schemeClr>
        </a:solid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pattFill prst="dkDnDiag">
      <a:fgClr>
        <a:schemeClr val="lt1">
          <a:lumMod val="95000"/>
        </a:schemeClr>
      </a:fgClr>
      <a:bgClr>
        <a:schemeClr val="lt1"/>
      </a:bgClr>
    </a:patt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[01-project.xlsm]Dashboard!PivotTable36</c:name>
    <c:fmtId val="0"/>
  </c:pivotSource>
  <c:chart>
    <c:autoTitleDeleted val="1"/>
    <c:pivotFmts>
      <c:pivotFmt>
        <c:idx val="0"/>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254653394413449E-2"/>
          <c:y val="0.19252722420998047"/>
          <c:w val="0.79740735155967379"/>
          <c:h val="0.53001840541316481"/>
        </c:manualLayout>
      </c:layout>
      <c:lineChart>
        <c:grouping val="standard"/>
        <c:varyColors val="0"/>
        <c:ser>
          <c:idx val="0"/>
          <c:order val="0"/>
          <c:tx>
            <c:strRef>
              <c:f>Dashboard!$H$3</c:f>
              <c:strCache>
                <c:ptCount val="1"/>
                <c:pt idx="0">
                  <c:v>Total</c:v>
                </c:pt>
              </c:strCache>
            </c:strRef>
          </c:tx>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Dashboard!$G$4:$G$8</c:f>
              <c:strCache>
                <c:ptCount val="5"/>
                <c:pt idx="0">
                  <c:v>Gopal</c:v>
                </c:pt>
                <c:pt idx="1">
                  <c:v>Govardhan</c:v>
                </c:pt>
                <c:pt idx="2">
                  <c:v>Kranti</c:v>
                </c:pt>
                <c:pt idx="3">
                  <c:v>Kritik</c:v>
                </c:pt>
                <c:pt idx="4">
                  <c:v>Poliesh</c:v>
                </c:pt>
              </c:strCache>
            </c:strRef>
          </c:cat>
          <c:val>
            <c:numRef>
              <c:f>Dashboard!$H$4:$H$8</c:f>
              <c:numCache>
                <c:formatCode>General</c:formatCode>
                <c:ptCount val="5"/>
                <c:pt idx="0">
                  <c:v>89.833333333333329</c:v>
                </c:pt>
                <c:pt idx="1">
                  <c:v>80</c:v>
                </c:pt>
                <c:pt idx="2">
                  <c:v>81.333333333333329</c:v>
                </c:pt>
                <c:pt idx="3">
                  <c:v>80.333333333333329</c:v>
                </c:pt>
                <c:pt idx="4">
                  <c:v>92</c:v>
                </c:pt>
              </c:numCache>
            </c:numRef>
          </c:val>
          <c:smooth val="0"/>
          <c:extLst>
            <c:ext xmlns:c16="http://schemas.microsoft.com/office/drawing/2014/chart" uri="{C3380CC4-5D6E-409C-BE32-E72D297353CC}">
              <c16:uniqueId val="{00000000-6FCC-4F4C-BB4C-F2C091427ADE}"/>
            </c:ext>
          </c:extLst>
        </c:ser>
        <c:dLbls>
          <c:showLegendKey val="0"/>
          <c:showVal val="0"/>
          <c:showCatName val="0"/>
          <c:showSerName val="0"/>
          <c:showPercent val="0"/>
          <c:showBubbleSize val="0"/>
        </c:dLbls>
        <c:marker val="1"/>
        <c:smooth val="0"/>
        <c:axId val="893122799"/>
        <c:axId val="893125679"/>
      </c:lineChart>
      <c:catAx>
        <c:axId val="893122799"/>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893125679"/>
        <c:crosses val="autoZero"/>
        <c:auto val="1"/>
        <c:lblAlgn val="ctr"/>
        <c:lblOffset val="100"/>
        <c:noMultiLvlLbl val="0"/>
      </c:catAx>
      <c:valAx>
        <c:axId val="893125679"/>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89312279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[01-project.xlsm]Dashboard!PivotTable37</c:name>
    <c:fmtId val="0"/>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Dashboard!$K$3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Dashboard!$J$4:$J$8</c:f>
              <c:strCache>
                <c:ptCount val="5"/>
                <c:pt idx="0">
                  <c:v>Carol</c:v>
                </c:pt>
                <c:pt idx="1">
                  <c:v>Pramod</c:v>
                </c:pt>
                <c:pt idx="2">
                  <c:v>Praveen</c:v>
                </c:pt>
                <c:pt idx="3">
                  <c:v>Revanth</c:v>
                </c:pt>
                <c:pt idx="4">
                  <c:v>Venu</c:v>
                </c:pt>
              </c:strCache>
            </c:strRef>
          </c:cat>
          <c:val>
            <c:numRef>
              <c:f>Dashboard!$K$4:$K$8</c:f>
              <c:numCache>
                <c:formatCode>General</c:formatCode>
                <c:ptCount val="5"/>
                <c:pt idx="0">
                  <c:v>52.833333333333329</c:v>
                </c:pt>
                <c:pt idx="1">
                  <c:v>52.166666666666664</c:v>
                </c:pt>
                <c:pt idx="2">
                  <c:v>56.333333333333336</c:v>
                </c:pt>
                <c:pt idx="3">
                  <c:v>57.166666666666664</c:v>
                </c:pt>
                <c:pt idx="4">
                  <c:v>49.333333333333336</c:v>
                </c:pt>
              </c:numCache>
            </c:numRef>
          </c:val>
          <c:extLst>
            <c:ext xmlns:c16="http://schemas.microsoft.com/office/drawing/2014/chart" uri="{C3380CC4-5D6E-409C-BE32-E72D297353CC}">
              <c16:uniqueId val="{00000000-E9C5-4AAF-ADF5-1C36BBD7D1B4}"/>
            </c:ext>
          </c:extLst>
        </c:ser>
        <c:dLbls>
          <c:showLegendKey val="0"/>
          <c:showVal val="0"/>
          <c:showCatName val="0"/>
          <c:showSerName val="0"/>
          <c:showPercent val="0"/>
          <c:showBubbleSize val="0"/>
        </c:dLbls>
        <c:axId val="895301103"/>
        <c:axId val="895302063"/>
      </c:areaChart>
      <c:catAx>
        <c:axId val="895301103"/>
        <c:scaling>
          <c:orientation val="minMax"/>
        </c:scaling>
        <c:delete val="0"/>
        <c:axPos val="b"/>
        <c:numFmt formatCode="General" sourceLinked="1"/>
        <c:majorTickMark val="out"/>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95302063"/>
        <c:crosses val="autoZero"/>
        <c:auto val="1"/>
        <c:lblAlgn val="ctr"/>
        <c:lblOffset val="100"/>
        <c:noMultiLvlLbl val="0"/>
      </c:catAx>
      <c:valAx>
        <c:axId val="895302063"/>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95301103"/>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8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CheckBox"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fmlaLink="$G$1" lockText="1" noThreeD="1"/>
</file>

<file path=xl/ctrlProps/ctrlProp4.xml><?xml version="1.0" encoding="utf-8"?>
<formControlPr xmlns="http://schemas.microsoft.com/office/spreadsheetml/2009/9/main" objectType="CheckBox"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15301</xdr:colOff>
      <xdr:row>10</xdr:row>
      <xdr:rowOff>22950</xdr:rowOff>
    </xdr:from>
    <xdr:to>
      <xdr:col>4</xdr:col>
      <xdr:colOff>251158</xdr:colOff>
      <xdr:row>22</xdr:row>
      <xdr:rowOff>89138</xdr:rowOff>
    </xdr:to>
    <xdr:graphicFrame macro="">
      <xdr:nvGraphicFramePr>
        <xdr:cNvPr id="3" name="Chart 2">
          <a:extLst>
            <a:ext uri="{FF2B5EF4-FFF2-40B4-BE49-F238E27FC236}">
              <a16:creationId xmlns:a16="http://schemas.microsoft.com/office/drawing/2014/main" id="{FB6846C9-368C-8723-F52D-6D3DFD7B86B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97530</xdr:colOff>
      <xdr:row>10</xdr:row>
      <xdr:rowOff>57351</xdr:rowOff>
    </xdr:from>
    <xdr:to>
      <xdr:col>11</xdr:col>
      <xdr:colOff>289643</xdr:colOff>
      <xdr:row>23</xdr:row>
      <xdr:rowOff>0</xdr:rowOff>
    </xdr:to>
    <xdr:graphicFrame macro="">
      <xdr:nvGraphicFramePr>
        <xdr:cNvPr id="4" name="Chart 3">
          <a:extLst>
            <a:ext uri="{FF2B5EF4-FFF2-40B4-BE49-F238E27FC236}">
              <a16:creationId xmlns:a16="http://schemas.microsoft.com/office/drawing/2014/main" id="{03B142AB-8394-E5D4-5867-E0691134128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579826</xdr:colOff>
      <xdr:row>10</xdr:row>
      <xdr:rowOff>7650</xdr:rowOff>
    </xdr:from>
    <xdr:to>
      <xdr:col>8</xdr:col>
      <xdr:colOff>481988</xdr:colOff>
      <xdr:row>22</xdr:row>
      <xdr:rowOff>122410</xdr:rowOff>
    </xdr:to>
    <xdr:graphicFrame macro="">
      <xdr:nvGraphicFramePr>
        <xdr:cNvPr id="5" name="Chart 4">
          <a:extLst>
            <a:ext uri="{FF2B5EF4-FFF2-40B4-BE49-F238E27FC236}">
              <a16:creationId xmlns:a16="http://schemas.microsoft.com/office/drawing/2014/main" id="{2D60D234-A83E-22CA-DD96-5B7CE525979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912023</xdr:colOff>
      <xdr:row>0</xdr:row>
      <xdr:rowOff>201584</xdr:rowOff>
    </xdr:from>
    <xdr:to>
      <xdr:col>20</xdr:col>
      <xdr:colOff>551708</xdr:colOff>
      <xdr:row>18</xdr:row>
      <xdr:rowOff>40511</xdr:rowOff>
    </xdr:to>
    <xdr:graphicFrame macro="">
      <xdr:nvGraphicFramePr>
        <xdr:cNvPr id="6" name="Chart 5">
          <a:extLst>
            <a:ext uri="{FF2B5EF4-FFF2-40B4-BE49-F238E27FC236}">
              <a16:creationId xmlns:a16="http://schemas.microsoft.com/office/drawing/2014/main" id="{ACAD46CC-7766-3156-4738-11DB965403A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0</xdr:col>
      <xdr:colOff>45749</xdr:colOff>
      <xdr:row>0</xdr:row>
      <xdr:rowOff>88951</xdr:rowOff>
    </xdr:from>
    <xdr:to>
      <xdr:col>11</xdr:col>
      <xdr:colOff>531629</xdr:colOff>
      <xdr:row>1</xdr:row>
      <xdr:rowOff>281951</xdr:rowOff>
    </xdr:to>
    <mc:AlternateContent xmlns:mc="http://schemas.openxmlformats.org/markup-compatibility/2006" xmlns:a14="http://schemas.microsoft.com/office/drawing/2010/main">
      <mc:Choice Requires="a14">
        <xdr:graphicFrame macro="">
          <xdr:nvGraphicFramePr>
            <xdr:cNvPr id="7" name="Region">
              <a:extLst>
                <a:ext uri="{FF2B5EF4-FFF2-40B4-BE49-F238E27FC236}">
                  <a16:creationId xmlns:a16="http://schemas.microsoft.com/office/drawing/2014/main" id="{07D1A25B-720A-7B52-A575-EB45EBEBE4B9}"/>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45748" y="88951"/>
              <a:ext cx="12579055" cy="8280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144318</xdr:colOff>
      <xdr:row>1</xdr:row>
      <xdr:rowOff>452196</xdr:rowOff>
    </xdr:from>
    <xdr:to>
      <xdr:col>2</xdr:col>
      <xdr:colOff>48106</xdr:colOff>
      <xdr:row>1</xdr:row>
      <xdr:rowOff>962121</xdr:rowOff>
    </xdr:to>
    <xdr:sp macro="" textlink="">
      <xdr:nvSpPr>
        <xdr:cNvPr id="9" name="Flowchart: Alternate Process 8">
          <a:extLst>
            <a:ext uri="{FF2B5EF4-FFF2-40B4-BE49-F238E27FC236}">
              <a16:creationId xmlns:a16="http://schemas.microsoft.com/office/drawing/2014/main" id="{B49BD2BB-273E-D960-F450-D62DC0F50EEA}"/>
            </a:ext>
          </a:extLst>
        </xdr:cNvPr>
        <xdr:cNvSpPr/>
      </xdr:nvSpPr>
      <xdr:spPr>
        <a:xfrm>
          <a:off x="144318" y="1087196"/>
          <a:ext cx="1905000" cy="509925"/>
        </a:xfrm>
        <a:prstGeom prst="flowChartAlternateProcess">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2</xdr:col>
      <xdr:colOff>606135</xdr:colOff>
      <xdr:row>1</xdr:row>
      <xdr:rowOff>384847</xdr:rowOff>
    </xdr:from>
    <xdr:to>
      <xdr:col>5</xdr:col>
      <xdr:colOff>38483</xdr:colOff>
      <xdr:row>1</xdr:row>
      <xdr:rowOff>963082</xdr:rowOff>
    </xdr:to>
    <xdr:sp macro="" textlink="">
      <xdr:nvSpPr>
        <xdr:cNvPr id="10" name="Flowchart: Alternate Process 9">
          <a:extLst>
            <a:ext uri="{FF2B5EF4-FFF2-40B4-BE49-F238E27FC236}">
              <a16:creationId xmlns:a16="http://schemas.microsoft.com/office/drawing/2014/main" id="{8B369923-AA07-4832-8566-384B2BF42EE5}"/>
            </a:ext>
          </a:extLst>
        </xdr:cNvPr>
        <xdr:cNvSpPr/>
      </xdr:nvSpPr>
      <xdr:spPr>
        <a:xfrm>
          <a:off x="2607347" y="1019847"/>
          <a:ext cx="2039697" cy="578235"/>
        </a:xfrm>
        <a:prstGeom prst="flowChartAlternateProcess">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6</xdr:col>
      <xdr:colOff>38485</xdr:colOff>
      <xdr:row>1</xdr:row>
      <xdr:rowOff>384849</xdr:rowOff>
    </xdr:from>
    <xdr:to>
      <xdr:col>7</xdr:col>
      <xdr:colOff>1019847</xdr:colOff>
      <xdr:row>1</xdr:row>
      <xdr:rowOff>952500</xdr:rowOff>
    </xdr:to>
    <xdr:sp macro="" textlink="">
      <xdr:nvSpPr>
        <xdr:cNvPr id="11" name="Flowchart: Alternate Process 10">
          <a:extLst>
            <a:ext uri="{FF2B5EF4-FFF2-40B4-BE49-F238E27FC236}">
              <a16:creationId xmlns:a16="http://schemas.microsoft.com/office/drawing/2014/main" id="{2A04B8E0-5999-4A16-9BC9-2FDCF9E7D2E0}"/>
            </a:ext>
          </a:extLst>
        </xdr:cNvPr>
        <xdr:cNvSpPr/>
      </xdr:nvSpPr>
      <xdr:spPr>
        <a:xfrm>
          <a:off x="5214697" y="1019849"/>
          <a:ext cx="2241741" cy="567651"/>
        </a:xfrm>
        <a:prstGeom prst="flowChartAlternateProcess">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9</xdr:col>
      <xdr:colOff>28863</xdr:colOff>
      <xdr:row>1</xdr:row>
      <xdr:rowOff>355985</xdr:rowOff>
    </xdr:from>
    <xdr:to>
      <xdr:col>10</xdr:col>
      <xdr:colOff>914014</xdr:colOff>
      <xdr:row>1</xdr:row>
      <xdr:rowOff>914015</xdr:rowOff>
    </xdr:to>
    <xdr:sp macro="" textlink="">
      <xdr:nvSpPr>
        <xdr:cNvPr id="12" name="Flowchart: Alternate Process 11">
          <a:extLst>
            <a:ext uri="{FF2B5EF4-FFF2-40B4-BE49-F238E27FC236}">
              <a16:creationId xmlns:a16="http://schemas.microsoft.com/office/drawing/2014/main" id="{69983DB8-8CB8-4881-939E-BED59E7396FA}"/>
            </a:ext>
          </a:extLst>
        </xdr:cNvPr>
        <xdr:cNvSpPr/>
      </xdr:nvSpPr>
      <xdr:spPr>
        <a:xfrm>
          <a:off x="8101060" y="990985"/>
          <a:ext cx="2145530" cy="558030"/>
        </a:xfrm>
        <a:prstGeom prst="flowChartAlternateProcess">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editAs="oneCell">
        <xdr:from>
          <xdr:col>0</xdr:col>
          <xdr:colOff>666750</xdr:colOff>
          <xdr:row>1</xdr:row>
          <xdr:rowOff>590550</xdr:rowOff>
        </xdr:from>
        <xdr:to>
          <xdr:col>2</xdr:col>
          <xdr:colOff>152400</xdr:colOff>
          <xdr:row>1</xdr:row>
          <xdr:rowOff>812800</xdr:rowOff>
        </xdr:to>
        <xdr:sp macro="" textlink="">
          <xdr:nvSpPr>
            <xdr:cNvPr id="10243" name="Check Box 3" hidden="1">
              <a:extLst>
                <a:ext uri="{63B3BB69-23CF-44E3-9099-C40C66FF867C}">
                  <a14:compatExt spid="_x0000_s10243"/>
                </a:ext>
                <a:ext uri="{FF2B5EF4-FFF2-40B4-BE49-F238E27FC236}">
                  <a16:creationId xmlns:a16="http://schemas.microsoft.com/office/drawing/2014/main" id="{00000000-0008-0000-0000-000003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GB" sz="800" b="0" i="0" u="none" strike="noStrike" baseline="0">
                  <a:solidFill>
                    <a:srgbClr val="000000"/>
                  </a:solidFill>
                  <a:latin typeface="Segoe UI"/>
                  <a:cs typeface="Segoe UI"/>
                </a:rPr>
                <a:t>DASHBOARD-1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488950</xdr:colOff>
          <xdr:row>1</xdr:row>
          <xdr:rowOff>546100</xdr:rowOff>
        </xdr:from>
        <xdr:to>
          <xdr:col>5</xdr:col>
          <xdr:colOff>217670</xdr:colOff>
          <xdr:row>1</xdr:row>
          <xdr:rowOff>901700</xdr:rowOff>
        </xdr:to>
        <xdr:sp macro="" textlink="">
          <xdr:nvSpPr>
            <xdr:cNvPr id="10245" name="Check Box 5" hidden="1">
              <a:extLst>
                <a:ext uri="{63B3BB69-23CF-44E3-9099-C40C66FF867C}">
                  <a14:compatExt spid="_x0000_s10245"/>
                </a:ext>
                <a:ext uri="{FF2B5EF4-FFF2-40B4-BE49-F238E27FC236}">
                  <a16:creationId xmlns:a16="http://schemas.microsoft.com/office/drawing/2014/main" id="{00000000-0008-0000-0000-000005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GB" sz="800" b="0" i="0" u="none" strike="noStrike" baseline="0">
                  <a:solidFill>
                    <a:srgbClr val="000000"/>
                  </a:solidFill>
                  <a:latin typeface="Segoe UI"/>
                  <a:cs typeface="Segoe UI"/>
                </a:rPr>
                <a:t>DASHBOARD-2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704850</xdr:colOff>
          <xdr:row>1</xdr:row>
          <xdr:rowOff>527050</xdr:rowOff>
        </xdr:from>
        <xdr:to>
          <xdr:col>8</xdr:col>
          <xdr:colOff>209550</xdr:colOff>
          <xdr:row>1</xdr:row>
          <xdr:rowOff>876300</xdr:rowOff>
        </xdr:to>
        <xdr:sp macro="" textlink="">
          <xdr:nvSpPr>
            <xdr:cNvPr id="10246" name="Check Box 6" hidden="1">
              <a:extLst>
                <a:ext uri="{63B3BB69-23CF-44E3-9099-C40C66FF867C}">
                  <a14:compatExt spid="_x0000_s10246"/>
                </a:ext>
                <a:ext uri="{FF2B5EF4-FFF2-40B4-BE49-F238E27FC236}">
                  <a16:creationId xmlns:a16="http://schemas.microsoft.com/office/drawing/2014/main" id="{00000000-0008-0000-0000-000006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GB" sz="800" b="0" i="0" u="none" strike="noStrike" baseline="0">
                  <a:solidFill>
                    <a:srgbClr val="000000"/>
                  </a:solidFill>
                  <a:latin typeface="Segoe UI"/>
                  <a:cs typeface="Segoe UI"/>
                </a:rPr>
                <a:t>DASHBOARD-3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622300</xdr:colOff>
          <xdr:row>1</xdr:row>
          <xdr:rowOff>514350</xdr:rowOff>
        </xdr:from>
        <xdr:to>
          <xdr:col>11</xdr:col>
          <xdr:colOff>101601</xdr:colOff>
          <xdr:row>1</xdr:row>
          <xdr:rowOff>755650</xdr:rowOff>
        </xdr:to>
        <xdr:sp macro="" textlink="">
          <xdr:nvSpPr>
            <xdr:cNvPr id="10247" name="Check Box 7" hidden="1">
              <a:extLst>
                <a:ext uri="{63B3BB69-23CF-44E3-9099-C40C66FF867C}">
                  <a14:compatExt spid="_x0000_s10247"/>
                </a:ext>
                <a:ext uri="{FF2B5EF4-FFF2-40B4-BE49-F238E27FC236}">
                  <a16:creationId xmlns:a16="http://schemas.microsoft.com/office/drawing/2014/main" id="{00000000-0008-0000-0000-000007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GB" sz="800" b="0" i="0" u="none" strike="noStrike" baseline="0">
                  <a:solidFill>
                    <a:srgbClr val="000000"/>
                  </a:solidFill>
                  <a:latin typeface="Segoe UI"/>
                  <a:cs typeface="Segoe UI"/>
                </a:rPr>
                <a:t> DASHBOARD-4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vinay gogula" refreshedDate="45798.011859259263" createdVersion="8" refreshedVersion="8" minRefreshableVersion="3" recordCount="50" xr:uid="{DAD0F9C0-A250-4C83-8990-DC25EC1FCB5C}">
  <cacheSource type="worksheet">
    <worksheetSource ref="A1:M51" sheet="Raw-sheet"/>
  </cacheSource>
  <cacheFields count="13">
    <cacheField name="Emp Id" numFmtId="0">
      <sharedItems/>
    </cacheField>
    <cacheField name="Sales Executive" numFmtId="0">
      <sharedItems count="50">
        <s v="Omkar"/>
        <s v="Vikas"/>
        <s v="Nihal"/>
        <s v="Nikhil"/>
        <s v="Pramod"/>
        <s v="Prakash"/>
        <s v="Arun"/>
        <s v="Ajith"/>
        <s v="Bhanu"/>
        <s v="Brahma"/>
        <s v="Dinesh"/>
        <s v="Dora"/>
        <s v="Carol"/>
        <s v="Govardhan"/>
        <s v="Goutham"/>
        <s v="Ganesh"/>
        <s v="Hitesh"/>
        <s v="Haran"/>
        <s v="Janardhan"/>
        <s v="Kailash"/>
        <s v="Mahesh"/>
        <s v="Srikanth"/>
        <s v="Praveen"/>
        <s v="Eshwar"/>
        <s v="Naveen"/>
        <s v="Gopal"/>
        <s v="Likith"/>
        <s v="Wasim"/>
        <s v="Lovesh"/>
        <s v="Jhonny"/>
        <s v="Kumar"/>
        <s v="Karthik"/>
        <s v="Karan"/>
        <s v="Poliesh"/>
        <s v="Kapilesh"/>
        <s v="Pavan"/>
        <s v="Nithin"/>
        <s v="Giri"/>
        <s v="Deva"/>
        <s v="Venu"/>
        <s v="Harish "/>
        <s v="Rahul"/>
        <s v="Kritik"/>
        <s v="Revanth"/>
        <s v="Ravi"/>
        <s v="Sohel"/>
        <s v="Raju"/>
        <s v="Kranti"/>
        <s v="Yashwanth"/>
        <s v="Mani"/>
      </sharedItems>
    </cacheField>
    <cacheField name="Region" numFmtId="0">
      <sharedItems count="8">
        <s v="North"/>
        <s v="South"/>
        <s v="East"/>
        <s v="West"/>
        <s v="North East"/>
        <s v="South East"/>
        <s v="North west"/>
        <s v="South west"/>
      </sharedItems>
    </cacheField>
    <cacheField name="Nokia" numFmtId="0">
      <sharedItems containsSemiMixedTypes="0" containsString="0" containsNumber="1" containsInteger="1" minValue="23" maxValue="97"/>
    </cacheField>
    <cacheField name="Samsung" numFmtId="0">
      <sharedItems containsSemiMixedTypes="0" containsString="0" containsNumber="1" containsInteger="1" minValue="25" maxValue="99"/>
    </cacheField>
    <cacheField name="Apple" numFmtId="0">
      <sharedItems containsSemiMixedTypes="0" containsString="0" containsNumber="1" containsInteger="1" minValue="25" maxValue="97"/>
    </cacheField>
    <cacheField name="Redmi" numFmtId="0">
      <sharedItems containsSemiMixedTypes="0" containsString="0" containsNumber="1" containsInteger="1" minValue="23" maxValue="97"/>
    </cacheField>
    <cacheField name="Lava" numFmtId="0">
      <sharedItems containsSemiMixedTypes="0" containsString="0" containsNumber="1" containsInteger="1" minValue="23" maxValue="98"/>
    </cacheField>
    <cacheField name="Poco" numFmtId="0">
      <sharedItems containsSemiMixedTypes="0" containsString="0" containsNumber="1" containsInteger="1" minValue="23" maxValue="98"/>
    </cacheField>
    <cacheField name="Realme" numFmtId="0">
      <sharedItems containsSemiMixedTypes="0" containsString="0" containsNumber="1" containsInteger="1" minValue="23" maxValue="91"/>
    </cacheField>
    <cacheField name="Total sales" numFmtId="0">
      <sharedItems containsSemiMixedTypes="0" containsString="0" containsNumber="1" containsInteger="1" minValue="296" maxValue="552"/>
    </cacheField>
    <cacheField name=" Target" numFmtId="0">
      <sharedItems containsSemiMixedTypes="0" containsString="0" containsNumber="1" containsInteger="1" minValue="600" maxValue="600"/>
    </cacheField>
    <cacheField name="Percentage hit" numFmtId="0">
      <sharedItems containsSemiMixedTypes="0" containsString="0" containsNumber="1" minValue="49.333333333333336" maxValue="92"/>
    </cacheField>
  </cacheFields>
  <extLst>
    <ext xmlns:x14="http://schemas.microsoft.com/office/spreadsheetml/2009/9/main" uri="{725AE2AE-9491-48be-B2B4-4EB974FC3084}">
      <x14:pivotCacheDefinition pivotCacheId="6323526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
  <r>
    <s v="MB001"/>
    <x v="0"/>
    <x v="0"/>
    <n v="71"/>
    <n v="44"/>
    <n v="86"/>
    <n v="47"/>
    <n v="43"/>
    <n v="25"/>
    <n v="77"/>
    <n v="393"/>
    <n v="600"/>
    <n v="65.5"/>
  </r>
  <r>
    <s v="MB002"/>
    <x v="1"/>
    <x v="1"/>
    <n v="79"/>
    <n v="52"/>
    <n v="28"/>
    <n v="72"/>
    <n v="82"/>
    <n v="58"/>
    <n v="66"/>
    <n v="437"/>
    <n v="600"/>
    <n v="72.833333333333343"/>
  </r>
  <r>
    <s v="MB003"/>
    <x v="2"/>
    <x v="2"/>
    <n v="23"/>
    <n v="74"/>
    <n v="48"/>
    <n v="63"/>
    <n v="75"/>
    <n v="94"/>
    <n v="36"/>
    <n v="413"/>
    <n v="600"/>
    <n v="68.833333333333329"/>
  </r>
  <r>
    <s v="MB004"/>
    <x v="3"/>
    <x v="3"/>
    <n v="79"/>
    <n v="46"/>
    <n v="86"/>
    <n v="82"/>
    <n v="97"/>
    <n v="58"/>
    <n v="25"/>
    <n v="473"/>
    <n v="600"/>
    <n v="78.833333333333329"/>
  </r>
  <r>
    <s v="MB005"/>
    <x v="4"/>
    <x v="4"/>
    <n v="23"/>
    <n v="44"/>
    <n v="33"/>
    <n v="30"/>
    <n v="54"/>
    <n v="79"/>
    <n v="50"/>
    <n v="313"/>
    <n v="600"/>
    <n v="52.166666666666664"/>
  </r>
  <r>
    <s v="MB006"/>
    <x v="5"/>
    <x v="5"/>
    <n v="67"/>
    <n v="48"/>
    <n v="65"/>
    <n v="38"/>
    <n v="80"/>
    <n v="27"/>
    <n v="91"/>
    <n v="416"/>
    <n v="600"/>
    <n v="69.333333333333343"/>
  </r>
  <r>
    <s v="MB007"/>
    <x v="6"/>
    <x v="6"/>
    <n v="93"/>
    <n v="64"/>
    <n v="67"/>
    <n v="64"/>
    <n v="24"/>
    <n v="87"/>
    <n v="68"/>
    <n v="467"/>
    <n v="600"/>
    <n v="77.833333333333329"/>
  </r>
  <r>
    <s v="MB008"/>
    <x v="7"/>
    <x v="7"/>
    <n v="90"/>
    <n v="32"/>
    <n v="86"/>
    <n v="90"/>
    <n v="54"/>
    <n v="48"/>
    <n v="76"/>
    <n v="476"/>
    <n v="600"/>
    <n v="79.333333333333329"/>
  </r>
  <r>
    <s v="MB009"/>
    <x v="8"/>
    <x v="0"/>
    <n v="53"/>
    <n v="81"/>
    <n v="56"/>
    <n v="90"/>
    <n v="73"/>
    <n v="59"/>
    <n v="28"/>
    <n v="440"/>
    <n v="600"/>
    <n v="73.333333333333329"/>
  </r>
  <r>
    <s v="MB010"/>
    <x v="9"/>
    <x v="1"/>
    <n v="66"/>
    <n v="96"/>
    <n v="95"/>
    <n v="37"/>
    <n v="47"/>
    <n v="51"/>
    <n v="55"/>
    <n v="447"/>
    <n v="600"/>
    <n v="74.5"/>
  </r>
  <r>
    <s v="MB011"/>
    <x v="10"/>
    <x v="2"/>
    <n v="59"/>
    <n v="47"/>
    <n v="83"/>
    <n v="56"/>
    <n v="57"/>
    <n v="37"/>
    <n v="86"/>
    <n v="425"/>
    <n v="600"/>
    <n v="70.833333333333343"/>
  </r>
  <r>
    <s v="MB012"/>
    <x v="11"/>
    <x v="3"/>
    <n v="57"/>
    <n v="71"/>
    <n v="58"/>
    <n v="81"/>
    <n v="40"/>
    <n v="75"/>
    <n v="91"/>
    <n v="473"/>
    <n v="600"/>
    <n v="78.833333333333329"/>
  </r>
  <r>
    <s v="MB013"/>
    <x v="12"/>
    <x v="4"/>
    <n v="55"/>
    <n v="95"/>
    <n v="25"/>
    <n v="41"/>
    <n v="50"/>
    <n v="28"/>
    <n v="23"/>
    <n v="317"/>
    <n v="600"/>
    <n v="52.833333333333329"/>
  </r>
  <r>
    <s v="MB014"/>
    <x v="13"/>
    <x v="5"/>
    <n v="44"/>
    <n v="99"/>
    <n v="71"/>
    <n v="97"/>
    <n v="30"/>
    <n v="72"/>
    <n v="67"/>
    <n v="480"/>
    <n v="600"/>
    <n v="80"/>
  </r>
  <r>
    <s v="MB015"/>
    <x v="14"/>
    <x v="6"/>
    <n v="84"/>
    <n v="37"/>
    <n v="67"/>
    <n v="42"/>
    <n v="55"/>
    <n v="58"/>
    <n v="28"/>
    <n v="371"/>
    <n v="600"/>
    <n v="61.833333333333329"/>
  </r>
  <r>
    <s v="MB016"/>
    <x v="15"/>
    <x v="7"/>
    <n v="84"/>
    <n v="72"/>
    <n v="59"/>
    <n v="46"/>
    <n v="58"/>
    <n v="35"/>
    <n v="57"/>
    <n v="411"/>
    <n v="600"/>
    <n v="68.5"/>
  </r>
  <r>
    <s v="MB017"/>
    <x v="16"/>
    <x v="0"/>
    <n v="50"/>
    <n v="60"/>
    <n v="88"/>
    <n v="31"/>
    <n v="64"/>
    <n v="26"/>
    <n v="74"/>
    <n v="393"/>
    <n v="600"/>
    <n v="65.5"/>
  </r>
  <r>
    <s v="MB018"/>
    <x v="17"/>
    <x v="1"/>
    <n v="44"/>
    <n v="56"/>
    <n v="91"/>
    <n v="35"/>
    <n v="40"/>
    <n v="60"/>
    <n v="40"/>
    <n v="366"/>
    <n v="600"/>
    <n v="61"/>
  </r>
  <r>
    <s v="MB019"/>
    <x v="18"/>
    <x v="2"/>
    <n v="97"/>
    <n v="46"/>
    <n v="41"/>
    <n v="53"/>
    <n v="66"/>
    <n v="43"/>
    <n v="64"/>
    <n v="410"/>
    <n v="600"/>
    <n v="68.333333333333329"/>
  </r>
  <r>
    <s v="MB020"/>
    <x v="19"/>
    <x v="3"/>
    <n v="60"/>
    <n v="93"/>
    <n v="60"/>
    <n v="29"/>
    <n v="84"/>
    <n v="53"/>
    <n v="37"/>
    <n v="416"/>
    <n v="600"/>
    <n v="69.333333333333343"/>
  </r>
  <r>
    <s v="MB021"/>
    <x v="20"/>
    <x v="4"/>
    <n v="59"/>
    <n v="32"/>
    <n v="92"/>
    <n v="35"/>
    <n v="30"/>
    <n v="73"/>
    <n v="45"/>
    <n v="366"/>
    <n v="600"/>
    <n v="61"/>
  </r>
  <r>
    <s v="MB022"/>
    <x v="21"/>
    <x v="5"/>
    <n v="66"/>
    <n v="85"/>
    <n v="38"/>
    <n v="97"/>
    <n v="89"/>
    <n v="42"/>
    <n v="34"/>
    <n v="451"/>
    <n v="600"/>
    <n v="75.166666666666671"/>
  </r>
  <r>
    <s v="MB023"/>
    <x v="22"/>
    <x v="6"/>
    <n v="50"/>
    <n v="25"/>
    <n v="33"/>
    <n v="96"/>
    <n v="38"/>
    <n v="43"/>
    <n v="53"/>
    <n v="338"/>
    <n v="600"/>
    <n v="56.333333333333336"/>
  </r>
  <r>
    <s v="MB024"/>
    <x v="23"/>
    <x v="0"/>
    <n v="83"/>
    <n v="51"/>
    <n v="37"/>
    <n v="27"/>
    <n v="33"/>
    <n v="91"/>
    <n v="38"/>
    <n v="360"/>
    <n v="600"/>
    <n v="60"/>
  </r>
  <r>
    <s v="MB025"/>
    <x v="24"/>
    <x v="1"/>
    <n v="31"/>
    <n v="61"/>
    <n v="72"/>
    <n v="74"/>
    <n v="40"/>
    <n v="47"/>
    <n v="58"/>
    <n v="383"/>
    <n v="600"/>
    <n v="63.833333333333329"/>
  </r>
  <r>
    <s v="MB026"/>
    <x v="25"/>
    <x v="2"/>
    <n v="68"/>
    <n v="95"/>
    <n v="54"/>
    <n v="72"/>
    <n v="84"/>
    <n v="76"/>
    <n v="90"/>
    <n v="539"/>
    <n v="600"/>
    <n v="89.833333333333329"/>
  </r>
  <r>
    <s v="MB027"/>
    <x v="26"/>
    <x v="3"/>
    <n v="93"/>
    <n v="25"/>
    <n v="93"/>
    <n v="52"/>
    <n v="66"/>
    <n v="89"/>
    <n v="52"/>
    <n v="470"/>
    <n v="600"/>
    <n v="78.333333333333329"/>
  </r>
  <r>
    <s v="MB028"/>
    <x v="27"/>
    <x v="4"/>
    <n v="87"/>
    <n v="49"/>
    <n v="52"/>
    <n v="77"/>
    <n v="52"/>
    <n v="86"/>
    <n v="28"/>
    <n v="431"/>
    <n v="600"/>
    <n v="71.833333333333343"/>
  </r>
  <r>
    <s v="MB029"/>
    <x v="28"/>
    <x v="5"/>
    <n v="91"/>
    <n v="57"/>
    <n v="93"/>
    <n v="39"/>
    <n v="79"/>
    <n v="43"/>
    <n v="70"/>
    <n v="472"/>
    <n v="600"/>
    <n v="78.666666666666657"/>
  </r>
  <r>
    <s v="MB030"/>
    <x v="29"/>
    <x v="6"/>
    <n v="29"/>
    <n v="75"/>
    <n v="66"/>
    <n v="55"/>
    <n v="26"/>
    <n v="61"/>
    <n v="76"/>
    <n v="388"/>
    <n v="600"/>
    <n v="64.666666666666657"/>
  </r>
  <r>
    <s v="MB031"/>
    <x v="30"/>
    <x v="0"/>
    <n v="64"/>
    <n v="88"/>
    <n v="43"/>
    <n v="86"/>
    <n v="34"/>
    <n v="89"/>
    <n v="51"/>
    <n v="455"/>
    <n v="600"/>
    <n v="75.833333333333329"/>
  </r>
  <r>
    <s v="MB032"/>
    <x v="31"/>
    <x v="1"/>
    <n v="70"/>
    <n v="59"/>
    <n v="54"/>
    <n v="82"/>
    <n v="58"/>
    <n v="57"/>
    <n v="60"/>
    <n v="440"/>
    <n v="600"/>
    <n v="73.333333333333329"/>
  </r>
  <r>
    <s v="MB033"/>
    <x v="32"/>
    <x v="2"/>
    <n v="39"/>
    <n v="30"/>
    <n v="96"/>
    <n v="45"/>
    <n v="86"/>
    <n v="23"/>
    <n v="57"/>
    <n v="376"/>
    <n v="600"/>
    <n v="62.666666666666671"/>
  </r>
  <r>
    <s v="MB034"/>
    <x v="33"/>
    <x v="3"/>
    <n v="78"/>
    <n v="99"/>
    <n v="97"/>
    <n v="32"/>
    <n v="98"/>
    <n v="93"/>
    <n v="55"/>
    <n v="552"/>
    <n v="600"/>
    <n v="92"/>
  </r>
  <r>
    <s v="MB035"/>
    <x v="34"/>
    <x v="4"/>
    <n v="95"/>
    <n v="28"/>
    <n v="75"/>
    <n v="71"/>
    <n v="76"/>
    <n v="37"/>
    <n v="89"/>
    <n v="471"/>
    <n v="600"/>
    <n v="78.5"/>
  </r>
  <r>
    <s v="MB036"/>
    <x v="35"/>
    <x v="5"/>
    <n v="93"/>
    <n v="29"/>
    <n v="52"/>
    <n v="70"/>
    <n v="54"/>
    <n v="81"/>
    <n v="87"/>
    <n v="466"/>
    <n v="600"/>
    <n v="77.666666666666657"/>
  </r>
  <r>
    <s v="MB037"/>
    <x v="36"/>
    <x v="6"/>
    <n v="77"/>
    <n v="33"/>
    <n v="71"/>
    <n v="56"/>
    <n v="88"/>
    <n v="45"/>
    <n v="30"/>
    <n v="400"/>
    <n v="600"/>
    <n v="66.666666666666657"/>
  </r>
  <r>
    <s v="MB038"/>
    <x v="37"/>
    <x v="0"/>
    <n v="32"/>
    <n v="83"/>
    <n v="57"/>
    <n v="34"/>
    <n v="23"/>
    <n v="98"/>
    <n v="77"/>
    <n v="404"/>
    <n v="600"/>
    <n v="67.333333333333329"/>
  </r>
  <r>
    <s v="MB039"/>
    <x v="38"/>
    <x v="1"/>
    <n v="26"/>
    <n v="88"/>
    <n v="87"/>
    <n v="41"/>
    <n v="60"/>
    <n v="64"/>
    <n v="24"/>
    <n v="390"/>
    <n v="600"/>
    <n v="65"/>
  </r>
  <r>
    <s v="MB040"/>
    <x v="39"/>
    <x v="2"/>
    <n v="28"/>
    <n v="34"/>
    <n v="62"/>
    <n v="51"/>
    <n v="51"/>
    <n v="28"/>
    <n v="42"/>
    <n v="296"/>
    <n v="600"/>
    <n v="49.333333333333336"/>
  </r>
  <r>
    <s v="MB041"/>
    <x v="40"/>
    <x v="3"/>
    <n v="49"/>
    <n v="39"/>
    <n v="34"/>
    <n v="69"/>
    <n v="35"/>
    <n v="98"/>
    <n v="25"/>
    <n v="349"/>
    <n v="600"/>
    <n v="58.166666666666664"/>
  </r>
  <r>
    <s v="MB042"/>
    <x v="41"/>
    <x v="4"/>
    <n v="66"/>
    <n v="71"/>
    <n v="85"/>
    <n v="24"/>
    <n v="67"/>
    <n v="51"/>
    <n v="52"/>
    <n v="416"/>
    <n v="600"/>
    <n v="69.333333333333343"/>
  </r>
  <r>
    <s v="MB043"/>
    <x v="42"/>
    <x v="5"/>
    <n v="76"/>
    <n v="91"/>
    <n v="65"/>
    <n v="45"/>
    <n v="82"/>
    <n v="64"/>
    <n v="59"/>
    <n v="482"/>
    <n v="600"/>
    <n v="80.333333333333329"/>
  </r>
  <r>
    <s v="MB044"/>
    <x v="43"/>
    <x v="6"/>
    <n v="39"/>
    <n v="30"/>
    <n v="36"/>
    <n v="41"/>
    <n v="63"/>
    <n v="45"/>
    <n v="89"/>
    <n v="343"/>
    <n v="600"/>
    <n v="57.166666666666664"/>
  </r>
  <r>
    <s v="MB045"/>
    <x v="44"/>
    <x v="7"/>
    <n v="58"/>
    <n v="28"/>
    <n v="59"/>
    <n v="26"/>
    <n v="57"/>
    <n v="98"/>
    <n v="64"/>
    <n v="390"/>
    <n v="600"/>
    <n v="65"/>
  </r>
  <r>
    <s v="MB046"/>
    <x v="45"/>
    <x v="0"/>
    <n v="34"/>
    <n v="99"/>
    <n v="57"/>
    <n v="39"/>
    <n v="94"/>
    <n v="72"/>
    <n v="77"/>
    <n v="472"/>
    <n v="600"/>
    <n v="78.666666666666657"/>
  </r>
  <r>
    <s v="MB047"/>
    <x v="46"/>
    <x v="1"/>
    <n v="52"/>
    <n v="29"/>
    <n v="80"/>
    <n v="63"/>
    <n v="59"/>
    <n v="97"/>
    <n v="46"/>
    <n v="426"/>
    <n v="600"/>
    <n v="71"/>
  </r>
  <r>
    <s v="MB048"/>
    <x v="47"/>
    <x v="2"/>
    <n v="68"/>
    <n v="32"/>
    <n v="80"/>
    <n v="90"/>
    <n v="98"/>
    <n v="34"/>
    <n v="86"/>
    <n v="488"/>
    <n v="600"/>
    <n v="81.333333333333329"/>
  </r>
  <r>
    <s v="MB049"/>
    <x v="48"/>
    <x v="3"/>
    <n v="42"/>
    <n v="86"/>
    <n v="92"/>
    <n v="61"/>
    <n v="58"/>
    <n v="81"/>
    <n v="49"/>
    <n v="469"/>
    <n v="600"/>
    <n v="78.166666666666657"/>
  </r>
  <r>
    <s v="MB050"/>
    <x v="49"/>
    <x v="4"/>
    <n v="88"/>
    <n v="44"/>
    <n v="69"/>
    <n v="23"/>
    <n v="58"/>
    <n v="75"/>
    <n v="57"/>
    <n v="414"/>
    <n v="600"/>
    <n v="6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6B83885-F232-42C1-855D-89EDE7C1FFEE}" name="PivotTable36" cacheId="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3" rowHeaderCaption="Sales Executive">
  <location ref="G3:H8" firstHeaderRow="1" firstDataRow="1" firstDataCol="1"/>
  <pivotFields count="13">
    <pivotField showAll="0"/>
    <pivotField axis="axisRow" showAll="0" measureFilter="1">
      <items count="51">
        <item x="7"/>
        <item x="6"/>
        <item x="8"/>
        <item x="9"/>
        <item x="12"/>
        <item x="38"/>
        <item x="10"/>
        <item x="11"/>
        <item x="23"/>
        <item x="15"/>
        <item x="37"/>
        <item x="25"/>
        <item x="14"/>
        <item x="13"/>
        <item x="17"/>
        <item x="40"/>
        <item x="16"/>
        <item x="18"/>
        <item x="29"/>
        <item x="19"/>
        <item x="34"/>
        <item x="32"/>
        <item x="31"/>
        <item x="47"/>
        <item x="42"/>
        <item x="30"/>
        <item x="26"/>
        <item x="28"/>
        <item x="20"/>
        <item x="49"/>
        <item x="24"/>
        <item x="2"/>
        <item x="3"/>
        <item x="36"/>
        <item x="0"/>
        <item x="35"/>
        <item x="33"/>
        <item x="5"/>
        <item x="4"/>
        <item x="22"/>
        <item x="41"/>
        <item x="46"/>
        <item x="44"/>
        <item x="43"/>
        <item x="45"/>
        <item x="21"/>
        <item x="39"/>
        <item x="1"/>
        <item x="27"/>
        <item x="48"/>
        <item t="default"/>
      </items>
    </pivotField>
    <pivotField showAll="0">
      <items count="9">
        <item h="1" x="2"/>
        <item x="0"/>
        <item h="1" x="4"/>
        <item h="1" x="6"/>
        <item h="1" x="1"/>
        <item h="1" x="5"/>
        <item h="1" x="7"/>
        <item h="1" x="3"/>
        <item t="default"/>
      </items>
    </pivotField>
    <pivotField showAll="0"/>
    <pivotField showAll="0"/>
    <pivotField showAll="0"/>
    <pivotField showAll="0"/>
    <pivotField showAll="0"/>
    <pivotField showAll="0"/>
    <pivotField showAll="0"/>
    <pivotField showAll="0"/>
    <pivotField showAll="0"/>
    <pivotField dataField="1" showAll="0"/>
  </pivotFields>
  <rowFields count="1">
    <field x="1"/>
  </rowFields>
  <rowItems count="5">
    <i>
      <x v="11"/>
    </i>
    <i>
      <x v="13"/>
    </i>
    <i>
      <x v="23"/>
    </i>
    <i>
      <x v="24"/>
    </i>
    <i>
      <x v="36"/>
    </i>
  </rowItems>
  <colItems count="1">
    <i/>
  </colItems>
  <dataFields count="1">
    <dataField name=" Percentage  Hit" fld="12"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Dark12"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FAA33CF-5E59-45CD-BB4F-EBC1FF41E1A5}" name="PivotTable35" cacheId="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3" rowHeaderCaption="Sales Executive">
  <location ref="D3:E8" firstHeaderRow="1" firstDataRow="1" firstDataCol="1"/>
  <pivotFields count="13">
    <pivotField showAll="0"/>
    <pivotField axis="axisRow" showAll="0" measureFilter="1">
      <items count="51">
        <item x="7"/>
        <item x="6"/>
        <item x="8"/>
        <item x="9"/>
        <item x="12"/>
        <item x="38"/>
        <item x="10"/>
        <item x="11"/>
        <item x="23"/>
        <item x="15"/>
        <item x="37"/>
        <item x="25"/>
        <item x="14"/>
        <item x="13"/>
        <item x="17"/>
        <item x="40"/>
        <item x="16"/>
        <item x="18"/>
        <item x="29"/>
        <item x="19"/>
        <item x="34"/>
        <item x="32"/>
        <item x="31"/>
        <item x="47"/>
        <item x="42"/>
        <item x="30"/>
        <item x="26"/>
        <item x="28"/>
        <item x="20"/>
        <item x="49"/>
        <item x="24"/>
        <item x="2"/>
        <item x="3"/>
        <item x="36"/>
        <item x="0"/>
        <item x="35"/>
        <item x="33"/>
        <item x="5"/>
        <item x="4"/>
        <item x="22"/>
        <item x="41"/>
        <item x="46"/>
        <item x="44"/>
        <item x="43"/>
        <item x="45"/>
        <item x="21"/>
        <item x="39"/>
        <item x="1"/>
        <item x="27"/>
        <item x="48"/>
        <item t="default"/>
      </items>
    </pivotField>
    <pivotField showAll="0">
      <items count="9">
        <item h="1" x="2"/>
        <item h="1" x="0"/>
        <item x="4"/>
        <item h="1" x="6"/>
        <item h="1" x="1"/>
        <item h="1" x="5"/>
        <item h="1" x="7"/>
        <item h="1" x="3"/>
        <item t="default"/>
      </items>
    </pivotField>
    <pivotField showAll="0"/>
    <pivotField showAll="0"/>
    <pivotField showAll="0"/>
    <pivotField showAll="0"/>
    <pivotField showAll="0"/>
    <pivotField showAll="0"/>
    <pivotField showAll="0"/>
    <pivotField dataField="1" showAll="0"/>
    <pivotField showAll="0"/>
    <pivotField showAll="0"/>
  </pivotFields>
  <rowFields count="1">
    <field x="1"/>
  </rowFields>
  <rowItems count="5">
    <i>
      <x v="4"/>
    </i>
    <i>
      <x v="28"/>
    </i>
    <i>
      <x v="29"/>
    </i>
    <i>
      <x v="38"/>
    </i>
    <i>
      <x v="40"/>
    </i>
  </rowItems>
  <colItems count="1">
    <i/>
  </colItems>
  <dataFields count="1">
    <dataField name=" Total sales" fld="10" baseField="0" baseItem="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4"/>
          </reference>
        </references>
      </pivotArea>
    </chartFormat>
    <chartFormat chart="0" format="2">
      <pivotArea type="data" outline="0" fieldPosition="0">
        <references count="2">
          <reference field="4294967294" count="1" selected="0">
            <x v="0"/>
          </reference>
          <reference field="1" count="1" selected="0">
            <x v="38"/>
          </reference>
        </references>
      </pivotArea>
    </chartFormat>
    <chartFormat chart="0" format="3">
      <pivotArea type="data" outline="0" fieldPosition="0">
        <references count="2">
          <reference field="4294967294" count="1" selected="0">
            <x v="0"/>
          </reference>
          <reference field="1" count="1" selected="0">
            <x v="39"/>
          </reference>
        </references>
      </pivotArea>
    </chartFormat>
    <chartFormat chart="0" format="4">
      <pivotArea type="data" outline="0" fieldPosition="0">
        <references count="2">
          <reference field="4294967294" count="1" selected="0">
            <x v="0"/>
          </reference>
          <reference field="1" count="1" selected="0">
            <x v="43"/>
          </reference>
        </references>
      </pivotArea>
    </chartFormat>
    <chartFormat chart="0" format="5">
      <pivotArea type="data" outline="0" fieldPosition="0">
        <references count="2">
          <reference field="4294967294" count="1" selected="0">
            <x v="0"/>
          </reference>
          <reference field="1" count="1" selected="0">
            <x v="46"/>
          </reference>
        </references>
      </pivotArea>
    </chartFormat>
  </chartFormats>
  <pivotTableStyleInfo name="PivotStyleDark12"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02BA6DD-9D59-46FE-A4CE-03BDBE576245}" name="PivotTable34" cacheId="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3" rowHeaderCaption="Sales Executive">
  <location ref="A3:B8" firstHeaderRow="1" firstDataRow="1" firstDataCol="1"/>
  <pivotFields count="13">
    <pivotField showAll="0"/>
    <pivotField axis="axisRow" showAll="0" measureFilter="1">
      <items count="51">
        <item x="7"/>
        <item x="6"/>
        <item x="8"/>
        <item x="9"/>
        <item x="12"/>
        <item x="38"/>
        <item x="10"/>
        <item x="11"/>
        <item x="23"/>
        <item x="15"/>
        <item x="37"/>
        <item x="25"/>
        <item x="14"/>
        <item x="13"/>
        <item x="17"/>
        <item x="40"/>
        <item x="16"/>
        <item x="18"/>
        <item x="29"/>
        <item x="19"/>
        <item x="34"/>
        <item x="32"/>
        <item x="31"/>
        <item x="47"/>
        <item x="42"/>
        <item x="30"/>
        <item x="26"/>
        <item x="28"/>
        <item x="20"/>
        <item x="49"/>
        <item x="24"/>
        <item x="2"/>
        <item x="3"/>
        <item x="36"/>
        <item x="0"/>
        <item x="35"/>
        <item x="33"/>
        <item x="5"/>
        <item x="4"/>
        <item x="22"/>
        <item x="41"/>
        <item x="46"/>
        <item x="44"/>
        <item x="43"/>
        <item x="45"/>
        <item x="21"/>
        <item x="39"/>
        <item x="1"/>
        <item x="27"/>
        <item x="48"/>
        <item t="default"/>
      </items>
    </pivotField>
    <pivotField showAll="0">
      <items count="9">
        <item h="1" x="2"/>
        <item h="1" x="0"/>
        <item x="4"/>
        <item h="1" x="6"/>
        <item h="1" x="1"/>
        <item h="1" x="5"/>
        <item h="1" x="7"/>
        <item h="1" x="3"/>
        <item t="default"/>
      </items>
    </pivotField>
    <pivotField showAll="0"/>
    <pivotField showAll="0"/>
    <pivotField showAll="0"/>
    <pivotField showAll="0"/>
    <pivotField showAll="0"/>
    <pivotField showAll="0"/>
    <pivotField showAll="0"/>
    <pivotField dataField="1" showAll="0"/>
    <pivotField showAll="0"/>
    <pivotField showAll="0"/>
  </pivotFields>
  <rowFields count="1">
    <field x="1"/>
  </rowFields>
  <rowItems count="5">
    <i>
      <x v="11"/>
    </i>
    <i>
      <x v="13"/>
    </i>
    <i>
      <x v="23"/>
    </i>
    <i>
      <x v="24"/>
    </i>
    <i>
      <x v="36"/>
    </i>
  </rowItems>
  <colItems count="1">
    <i/>
  </colItems>
  <dataFields count="1">
    <dataField name=" Total sales" fld="10"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Dark12"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7C77FB1-54A1-4A04-B355-C3E1755A007F}" name="PivotTable37" cacheId="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2" rowHeaderCaption="Sales Executive">
  <location ref="J3:K8" firstHeaderRow="1" firstDataRow="1" firstDataCol="1"/>
  <pivotFields count="13">
    <pivotField showAll="0"/>
    <pivotField axis="axisRow" showAll="0" measureFilter="1">
      <items count="51">
        <item x="7"/>
        <item x="6"/>
        <item x="8"/>
        <item x="9"/>
        <item x="12"/>
        <item x="38"/>
        <item x="10"/>
        <item x="11"/>
        <item x="23"/>
        <item x="15"/>
        <item x="37"/>
        <item x="25"/>
        <item x="14"/>
        <item x="13"/>
        <item x="17"/>
        <item x="40"/>
        <item x="16"/>
        <item x="18"/>
        <item x="29"/>
        <item x="19"/>
        <item x="34"/>
        <item x="32"/>
        <item x="31"/>
        <item x="47"/>
        <item x="42"/>
        <item x="30"/>
        <item x="26"/>
        <item x="28"/>
        <item x="20"/>
        <item x="49"/>
        <item x="24"/>
        <item x="2"/>
        <item x="3"/>
        <item x="36"/>
        <item x="0"/>
        <item x="35"/>
        <item x="33"/>
        <item x="5"/>
        <item x="4"/>
        <item x="22"/>
        <item x="41"/>
        <item x="46"/>
        <item x="44"/>
        <item x="43"/>
        <item x="45"/>
        <item x="21"/>
        <item x="39"/>
        <item x="1"/>
        <item x="27"/>
        <item x="48"/>
        <item t="default"/>
      </items>
    </pivotField>
    <pivotField showAll="0">
      <items count="9">
        <item h="1" x="2"/>
        <item h="1" x="0"/>
        <item h="1" x="4"/>
        <item h="1" x="6"/>
        <item h="1" x="1"/>
        <item x="5"/>
        <item h="1" x="7"/>
        <item h="1" x="3"/>
        <item t="default"/>
      </items>
    </pivotField>
    <pivotField showAll="0"/>
    <pivotField showAll="0"/>
    <pivotField showAll="0"/>
    <pivotField showAll="0"/>
    <pivotField showAll="0"/>
    <pivotField showAll="0"/>
    <pivotField showAll="0"/>
    <pivotField showAll="0"/>
    <pivotField showAll="0"/>
    <pivotField dataField="1" showAll="0"/>
  </pivotFields>
  <rowFields count="1">
    <field x="1"/>
  </rowFields>
  <rowItems count="5">
    <i>
      <x v="4"/>
    </i>
    <i>
      <x v="38"/>
    </i>
    <i>
      <x v="39"/>
    </i>
    <i>
      <x v="43"/>
    </i>
    <i>
      <x v="46"/>
    </i>
  </rowItems>
  <colItems count="1">
    <i/>
  </colItems>
  <dataFields count="1">
    <dataField name="Percentage  Hit" fld="12"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Dark12"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D91607E4-5793-45B1-814A-076FF0156B61}" sourceName="Region">
  <pivotTables>
    <pivotTable tabId="16" name="PivotTable35"/>
  </pivotTables>
  <data>
    <tabular pivotCacheId="63235261">
      <items count="8">
        <i x="2"/>
        <i x="0"/>
        <i x="4" s="1"/>
        <i x="6"/>
        <i x="1"/>
        <i x="5"/>
        <i x="7"/>
        <i x="3"/>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4E9A7631-2627-4559-B4DB-AD0A2628D5A1}" cache="Slicer_Region" caption="Region" columnCount="8" showCaption="0" style="Slicer Style 1" rowHeight="68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4E121E-58FC-46AF-94D3-BEBC5D5DBB4D}">
  <sheetPr codeName="Sheet1"/>
  <dimension ref="A1:K8"/>
  <sheetViews>
    <sheetView showGridLines="0" showRowColHeaders="0" tabSelected="1" zoomScale="69" workbookViewId="0">
      <selection activeCell="F26" sqref="F26"/>
    </sheetView>
  </sheetViews>
  <sheetFormatPr defaultRowHeight="14.5" x14ac:dyDescent="0.35"/>
  <cols>
    <col min="1" max="1" width="17.6328125" bestFit="1" customWidth="1"/>
    <col min="2" max="2" width="10.26953125" bestFit="1" customWidth="1"/>
    <col min="4" max="4" width="17.54296875" bestFit="1" customWidth="1"/>
    <col min="5" max="5" width="10" bestFit="1" customWidth="1"/>
    <col min="6" max="6" width="8.08984375" customWidth="1"/>
    <col min="7" max="7" width="17.6328125" bestFit="1" customWidth="1"/>
    <col min="8" max="8" width="14.26953125" bestFit="1" customWidth="1"/>
    <col min="10" max="10" width="17.6328125" bestFit="1" customWidth="1"/>
    <col min="11" max="11" width="13.81640625" bestFit="1" customWidth="1"/>
    <col min="12" max="12" width="19.1796875" bestFit="1" customWidth="1"/>
  </cols>
  <sheetData>
    <row r="1" spans="1:11" ht="50" customHeight="1" x14ac:dyDescent="0.35">
      <c r="A1" s="8" t="b">
        <v>0</v>
      </c>
      <c r="B1" s="8"/>
      <c r="C1" s="8"/>
      <c r="D1" s="8" t="b">
        <v>1</v>
      </c>
      <c r="E1" s="8"/>
      <c r="F1" s="8"/>
      <c r="G1" s="8" t="b">
        <v>0</v>
      </c>
      <c r="H1" s="8"/>
      <c r="I1" s="8"/>
      <c r="J1" s="8" t="b">
        <v>0</v>
      </c>
    </row>
    <row r="2" spans="1:11" ht="88" customHeight="1" x14ac:dyDescent="0.35"/>
    <row r="3" spans="1:11" x14ac:dyDescent="0.35">
      <c r="A3" s="5" t="s">
        <v>51</v>
      </c>
      <c r="B3" t="s">
        <v>121</v>
      </c>
      <c r="D3" s="5" t="s">
        <v>51</v>
      </c>
      <c r="E3" t="s">
        <v>121</v>
      </c>
      <c r="G3" s="5" t="s">
        <v>51</v>
      </c>
      <c r="H3" t="s">
        <v>123</v>
      </c>
      <c r="J3" s="5" t="s">
        <v>51</v>
      </c>
      <c r="K3" t="s">
        <v>122</v>
      </c>
    </row>
    <row r="4" spans="1:11" x14ac:dyDescent="0.35">
      <c r="A4" s="6" t="s">
        <v>84</v>
      </c>
      <c r="B4" s="7">
        <v>539</v>
      </c>
      <c r="D4" s="6" t="s">
        <v>72</v>
      </c>
      <c r="E4" s="7">
        <v>317</v>
      </c>
      <c r="G4" s="6" t="s">
        <v>84</v>
      </c>
      <c r="H4" s="7">
        <v>89.833333333333329</v>
      </c>
      <c r="J4" s="6" t="s">
        <v>72</v>
      </c>
      <c r="K4" s="7">
        <v>52.833333333333329</v>
      </c>
    </row>
    <row r="5" spans="1:11" x14ac:dyDescent="0.35">
      <c r="A5" s="6" t="s">
        <v>73</v>
      </c>
      <c r="B5" s="7">
        <v>480</v>
      </c>
      <c r="D5" s="6" t="s">
        <v>79</v>
      </c>
      <c r="E5" s="7">
        <v>366</v>
      </c>
      <c r="G5" s="6" t="s">
        <v>73</v>
      </c>
      <c r="H5" s="7">
        <v>80</v>
      </c>
      <c r="J5" s="6" t="s">
        <v>65</v>
      </c>
      <c r="K5" s="7">
        <v>52.166666666666664</v>
      </c>
    </row>
    <row r="6" spans="1:11" x14ac:dyDescent="0.35">
      <c r="A6" s="6" t="s">
        <v>106</v>
      </c>
      <c r="B6" s="7">
        <v>488</v>
      </c>
      <c r="D6" s="6" t="s">
        <v>108</v>
      </c>
      <c r="E6" s="7">
        <v>414</v>
      </c>
      <c r="G6" s="6" t="s">
        <v>106</v>
      </c>
      <c r="H6" s="7">
        <v>81.333333333333329</v>
      </c>
      <c r="J6" s="6" t="s">
        <v>81</v>
      </c>
      <c r="K6" s="7">
        <v>56.333333333333336</v>
      </c>
    </row>
    <row r="7" spans="1:11" x14ac:dyDescent="0.35">
      <c r="A7" s="6" t="s">
        <v>101</v>
      </c>
      <c r="B7" s="7">
        <v>482</v>
      </c>
      <c r="D7" s="6" t="s">
        <v>65</v>
      </c>
      <c r="E7" s="7">
        <v>313</v>
      </c>
      <c r="G7" s="6" t="s">
        <v>101</v>
      </c>
      <c r="H7" s="7">
        <v>80.333333333333329</v>
      </c>
      <c r="J7" s="6" t="s">
        <v>102</v>
      </c>
      <c r="K7" s="7">
        <v>57.166666666666664</v>
      </c>
    </row>
    <row r="8" spans="1:11" x14ac:dyDescent="0.35">
      <c r="A8" s="6" t="s">
        <v>92</v>
      </c>
      <c r="B8" s="7">
        <v>552</v>
      </c>
      <c r="D8" s="6" t="s">
        <v>100</v>
      </c>
      <c r="E8" s="7">
        <v>416</v>
      </c>
      <c r="G8" s="6" t="s">
        <v>92</v>
      </c>
      <c r="H8" s="7">
        <v>92</v>
      </c>
      <c r="J8" s="6" t="s">
        <v>98</v>
      </c>
      <c r="K8" s="7">
        <v>49.333333333333336</v>
      </c>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10243" r:id="rId7" name="Check Box 3">
              <controlPr defaultSize="0" autoFill="0" autoLine="0" autoPict="0" macro="[0]!SlicerConnection">
                <anchor moveWithCells="1">
                  <from>
                    <xdr:col>0</xdr:col>
                    <xdr:colOff>666750</xdr:colOff>
                    <xdr:row>1</xdr:row>
                    <xdr:rowOff>590550</xdr:rowOff>
                  </from>
                  <to>
                    <xdr:col>2</xdr:col>
                    <xdr:colOff>152400</xdr:colOff>
                    <xdr:row>1</xdr:row>
                    <xdr:rowOff>812800</xdr:rowOff>
                  </to>
                </anchor>
              </controlPr>
            </control>
          </mc:Choice>
        </mc:AlternateContent>
        <mc:AlternateContent xmlns:mc="http://schemas.openxmlformats.org/markup-compatibility/2006">
          <mc:Choice Requires="x14">
            <control shapeId="10245" r:id="rId8" name="Check Box 5">
              <controlPr defaultSize="0" autoFill="0" autoLine="0" autoPict="0" macro="[0]!SlicerConnection">
                <anchor moveWithCells="1">
                  <from>
                    <xdr:col>3</xdr:col>
                    <xdr:colOff>488950</xdr:colOff>
                    <xdr:row>1</xdr:row>
                    <xdr:rowOff>546100</xdr:rowOff>
                  </from>
                  <to>
                    <xdr:col>5</xdr:col>
                    <xdr:colOff>222250</xdr:colOff>
                    <xdr:row>1</xdr:row>
                    <xdr:rowOff>901700</xdr:rowOff>
                  </to>
                </anchor>
              </controlPr>
            </control>
          </mc:Choice>
        </mc:AlternateContent>
        <mc:AlternateContent xmlns:mc="http://schemas.openxmlformats.org/markup-compatibility/2006">
          <mc:Choice Requires="x14">
            <control shapeId="10246" r:id="rId9" name="Check Box 6">
              <controlPr defaultSize="0" autoFill="0" autoLine="0" autoPict="0" macro="[0]!SlicerConnection">
                <anchor moveWithCells="1">
                  <from>
                    <xdr:col>6</xdr:col>
                    <xdr:colOff>704850</xdr:colOff>
                    <xdr:row>1</xdr:row>
                    <xdr:rowOff>527050</xdr:rowOff>
                  </from>
                  <to>
                    <xdr:col>8</xdr:col>
                    <xdr:colOff>209550</xdr:colOff>
                    <xdr:row>1</xdr:row>
                    <xdr:rowOff>876300</xdr:rowOff>
                  </to>
                </anchor>
              </controlPr>
            </control>
          </mc:Choice>
        </mc:AlternateContent>
        <mc:AlternateContent xmlns:mc="http://schemas.openxmlformats.org/markup-compatibility/2006">
          <mc:Choice Requires="x14">
            <control shapeId="10247" r:id="rId10" name="Check Box 7">
              <controlPr defaultSize="0" autoFill="0" autoLine="0" autoPict="0" macro="[0]!SlicerConnection">
                <anchor moveWithCells="1">
                  <from>
                    <xdr:col>9</xdr:col>
                    <xdr:colOff>622300</xdr:colOff>
                    <xdr:row>1</xdr:row>
                    <xdr:rowOff>514350</xdr:rowOff>
                  </from>
                  <to>
                    <xdr:col>11</xdr:col>
                    <xdr:colOff>101600</xdr:colOff>
                    <xdr:row>1</xdr:row>
                    <xdr:rowOff>755650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170112-E851-4E41-9A3F-321B605E4D2E}">
  <sheetPr codeName="Sheet2"/>
  <dimension ref="A1:M51"/>
  <sheetViews>
    <sheetView zoomScale="51" workbookViewId="0">
      <selection activeCell="Q19" sqref="Q19"/>
    </sheetView>
  </sheetViews>
  <sheetFormatPr defaultRowHeight="14.5" x14ac:dyDescent="0.35"/>
  <cols>
    <col min="1" max="1" width="18.453125" bestFit="1" customWidth="1"/>
    <col min="2" max="2" width="22.36328125" bestFit="1" customWidth="1"/>
    <col min="4" max="4" width="18.453125" bestFit="1" customWidth="1"/>
    <col min="5" max="5" width="22.36328125" bestFit="1" customWidth="1"/>
    <col min="6" max="7" width="16.6328125" bestFit="1" customWidth="1"/>
    <col min="8" max="8" width="13.90625" customWidth="1"/>
    <col min="9" max="9" width="12.36328125" customWidth="1"/>
    <col min="10" max="10" width="23.81640625" bestFit="1" customWidth="1"/>
    <col min="11" max="11" width="18.26953125" bestFit="1" customWidth="1"/>
    <col min="15" max="15" width="23.81640625" bestFit="1" customWidth="1"/>
    <col min="16" max="16" width="18.26953125" bestFit="1" customWidth="1"/>
  </cols>
  <sheetData>
    <row r="1" spans="1:13" x14ac:dyDescent="0.35">
      <c r="A1" s="1" t="s">
        <v>50</v>
      </c>
      <c r="B1" s="2" t="s">
        <v>51</v>
      </c>
      <c r="C1" s="2" t="s">
        <v>112</v>
      </c>
      <c r="D1" s="2" t="s">
        <v>52</v>
      </c>
      <c r="E1" s="2" t="s">
        <v>53</v>
      </c>
      <c r="F1" s="2" t="s">
        <v>54</v>
      </c>
      <c r="G1" s="2" t="s">
        <v>55</v>
      </c>
      <c r="H1" s="2" t="s">
        <v>56</v>
      </c>
      <c r="I1" s="2" t="s">
        <v>58</v>
      </c>
      <c r="J1" s="2" t="s">
        <v>57</v>
      </c>
      <c r="K1" s="2" t="s">
        <v>59</v>
      </c>
      <c r="L1" s="2" t="s">
        <v>109</v>
      </c>
      <c r="M1" s="2" t="s">
        <v>111</v>
      </c>
    </row>
    <row r="2" spans="1:13" ht="20.5" customHeight="1" x14ac:dyDescent="0.35">
      <c r="A2" s="3" t="s">
        <v>0</v>
      </c>
      <c r="B2" s="4" t="s">
        <v>62</v>
      </c>
      <c r="C2" s="3" t="s">
        <v>113</v>
      </c>
      <c r="D2" s="3">
        <v>71</v>
      </c>
      <c r="E2" s="3">
        <v>44</v>
      </c>
      <c r="F2" s="3">
        <v>86</v>
      </c>
      <c r="G2" s="3">
        <v>47</v>
      </c>
      <c r="H2" s="3">
        <v>43</v>
      </c>
      <c r="I2" s="3">
        <v>25</v>
      </c>
      <c r="J2" s="3">
        <v>77</v>
      </c>
      <c r="K2" s="3">
        <f>SUM(D2:J2)</f>
        <v>393</v>
      </c>
      <c r="L2" s="3">
        <v>600</v>
      </c>
      <c r="M2" s="3">
        <f>(K2/L2)*100</f>
        <v>65.5</v>
      </c>
    </row>
    <row r="3" spans="1:13" x14ac:dyDescent="0.35">
      <c r="A3" s="3" t="s">
        <v>1</v>
      </c>
      <c r="B3" s="4" t="s">
        <v>60</v>
      </c>
      <c r="C3" s="3" t="s">
        <v>114</v>
      </c>
      <c r="D3" s="3">
        <v>79</v>
      </c>
      <c r="E3" s="3">
        <v>52</v>
      </c>
      <c r="F3" s="3">
        <v>28</v>
      </c>
      <c r="G3" s="3">
        <v>72</v>
      </c>
      <c r="H3" s="3">
        <v>82</v>
      </c>
      <c r="I3" s="3">
        <v>58</v>
      </c>
      <c r="J3" s="3">
        <v>66</v>
      </c>
      <c r="K3" s="3">
        <f t="shared" ref="K3:K51" si="0">SUM(D3:J3)</f>
        <v>437</v>
      </c>
      <c r="L3" s="3">
        <v>600</v>
      </c>
      <c r="M3" s="3">
        <f t="shared" ref="M3:M51" si="1">(K3/L3)*100</f>
        <v>72.833333333333343</v>
      </c>
    </row>
    <row r="4" spans="1:13" x14ac:dyDescent="0.35">
      <c r="A4" s="3" t="s">
        <v>2</v>
      </c>
      <c r="B4" s="4" t="s">
        <v>63</v>
      </c>
      <c r="C4" s="3" t="s">
        <v>115</v>
      </c>
      <c r="D4" s="3">
        <v>23</v>
      </c>
      <c r="E4" s="3">
        <v>74</v>
      </c>
      <c r="F4" s="3">
        <v>48</v>
      </c>
      <c r="G4" s="3">
        <v>63</v>
      </c>
      <c r="H4" s="3">
        <v>75</v>
      </c>
      <c r="I4" s="3">
        <v>94</v>
      </c>
      <c r="J4" s="3">
        <v>36</v>
      </c>
      <c r="K4" s="3">
        <f t="shared" si="0"/>
        <v>413</v>
      </c>
      <c r="L4" s="3">
        <v>600</v>
      </c>
      <c r="M4" s="3">
        <f t="shared" si="1"/>
        <v>68.833333333333329</v>
      </c>
    </row>
    <row r="5" spans="1:13" x14ac:dyDescent="0.35">
      <c r="A5" s="3" t="s">
        <v>3</v>
      </c>
      <c r="B5" s="4" t="s">
        <v>64</v>
      </c>
      <c r="C5" s="3" t="s">
        <v>116</v>
      </c>
      <c r="D5" s="3">
        <v>79</v>
      </c>
      <c r="E5" s="3">
        <v>46</v>
      </c>
      <c r="F5" s="3">
        <v>86</v>
      </c>
      <c r="G5" s="3">
        <v>82</v>
      </c>
      <c r="H5" s="3">
        <v>97</v>
      </c>
      <c r="I5" s="3">
        <v>58</v>
      </c>
      <c r="J5" s="3">
        <v>25</v>
      </c>
      <c r="K5" s="3">
        <f t="shared" si="0"/>
        <v>473</v>
      </c>
      <c r="L5" s="3">
        <v>600</v>
      </c>
      <c r="M5" s="3">
        <f t="shared" si="1"/>
        <v>78.833333333333329</v>
      </c>
    </row>
    <row r="6" spans="1:13" x14ac:dyDescent="0.35">
      <c r="A6" s="3" t="s">
        <v>4</v>
      </c>
      <c r="B6" s="4" t="s">
        <v>65</v>
      </c>
      <c r="C6" s="3" t="s">
        <v>118</v>
      </c>
      <c r="D6" s="3">
        <v>23</v>
      </c>
      <c r="E6" s="3">
        <v>44</v>
      </c>
      <c r="F6" s="3">
        <v>33</v>
      </c>
      <c r="G6" s="3">
        <v>30</v>
      </c>
      <c r="H6" s="3">
        <v>54</v>
      </c>
      <c r="I6" s="3">
        <v>79</v>
      </c>
      <c r="J6" s="3">
        <v>50</v>
      </c>
      <c r="K6" s="3">
        <f>SUM(D6:J6)</f>
        <v>313</v>
      </c>
      <c r="L6" s="3">
        <v>600</v>
      </c>
      <c r="M6" s="3">
        <f t="shared" si="1"/>
        <v>52.166666666666664</v>
      </c>
    </row>
    <row r="7" spans="1:13" x14ac:dyDescent="0.35">
      <c r="A7" s="3" t="s">
        <v>5</v>
      </c>
      <c r="B7" s="4" t="s">
        <v>66</v>
      </c>
      <c r="C7" s="3" t="s">
        <v>117</v>
      </c>
      <c r="D7" s="3">
        <v>67</v>
      </c>
      <c r="E7" s="3">
        <v>48</v>
      </c>
      <c r="F7" s="3">
        <v>65</v>
      </c>
      <c r="G7" s="3">
        <v>38</v>
      </c>
      <c r="H7" s="3">
        <v>80</v>
      </c>
      <c r="I7" s="3">
        <v>27</v>
      </c>
      <c r="J7" s="3">
        <v>91</v>
      </c>
      <c r="K7" s="3">
        <f t="shared" si="0"/>
        <v>416</v>
      </c>
      <c r="L7" s="3">
        <v>600</v>
      </c>
      <c r="M7" s="3">
        <f t="shared" si="1"/>
        <v>69.333333333333343</v>
      </c>
    </row>
    <row r="8" spans="1:13" x14ac:dyDescent="0.35">
      <c r="A8" s="3" t="s">
        <v>6</v>
      </c>
      <c r="B8" s="4" t="s">
        <v>61</v>
      </c>
      <c r="C8" s="3" t="s">
        <v>119</v>
      </c>
      <c r="D8" s="3">
        <v>93</v>
      </c>
      <c r="E8" s="3">
        <v>64</v>
      </c>
      <c r="F8" s="3">
        <v>67</v>
      </c>
      <c r="G8" s="3">
        <v>64</v>
      </c>
      <c r="H8" s="3">
        <v>24</v>
      </c>
      <c r="I8" s="3">
        <v>87</v>
      </c>
      <c r="J8" s="3">
        <v>68</v>
      </c>
      <c r="K8" s="3">
        <f t="shared" si="0"/>
        <v>467</v>
      </c>
      <c r="L8" s="3">
        <v>600</v>
      </c>
      <c r="M8" s="3">
        <f t="shared" si="1"/>
        <v>77.833333333333329</v>
      </c>
    </row>
    <row r="9" spans="1:13" x14ac:dyDescent="0.35">
      <c r="A9" s="3" t="s">
        <v>7</v>
      </c>
      <c r="B9" s="4" t="s">
        <v>67</v>
      </c>
      <c r="C9" s="3" t="s">
        <v>120</v>
      </c>
      <c r="D9" s="3">
        <v>90</v>
      </c>
      <c r="E9" s="3">
        <v>32</v>
      </c>
      <c r="F9" s="3">
        <v>86</v>
      </c>
      <c r="G9" s="3">
        <v>90</v>
      </c>
      <c r="H9" s="3">
        <v>54</v>
      </c>
      <c r="I9" s="3">
        <v>48</v>
      </c>
      <c r="J9" s="3">
        <v>76</v>
      </c>
      <c r="K9" s="3">
        <f t="shared" si="0"/>
        <v>476</v>
      </c>
      <c r="L9" s="3">
        <v>600</v>
      </c>
      <c r="M9" s="3">
        <f t="shared" si="1"/>
        <v>79.333333333333329</v>
      </c>
    </row>
    <row r="10" spans="1:13" x14ac:dyDescent="0.35">
      <c r="A10" s="3" t="s">
        <v>8</v>
      </c>
      <c r="B10" s="4" t="s">
        <v>68</v>
      </c>
      <c r="C10" s="3" t="s">
        <v>113</v>
      </c>
      <c r="D10" s="3">
        <v>53</v>
      </c>
      <c r="E10" s="3">
        <v>81</v>
      </c>
      <c r="F10" s="3">
        <v>56</v>
      </c>
      <c r="G10" s="3">
        <v>90</v>
      </c>
      <c r="H10" s="3">
        <v>73</v>
      </c>
      <c r="I10" s="3">
        <v>59</v>
      </c>
      <c r="J10" s="3">
        <v>28</v>
      </c>
      <c r="K10" s="3">
        <f t="shared" si="0"/>
        <v>440</v>
      </c>
      <c r="L10" s="3">
        <v>600</v>
      </c>
      <c r="M10" s="3">
        <f t="shared" si="1"/>
        <v>73.333333333333329</v>
      </c>
    </row>
    <row r="11" spans="1:13" x14ac:dyDescent="0.35">
      <c r="A11" s="3" t="s">
        <v>9</v>
      </c>
      <c r="B11" s="4" t="s">
        <v>69</v>
      </c>
      <c r="C11" s="3" t="s">
        <v>114</v>
      </c>
      <c r="D11" s="3">
        <v>66</v>
      </c>
      <c r="E11" s="3">
        <v>96</v>
      </c>
      <c r="F11" s="3">
        <v>95</v>
      </c>
      <c r="G11" s="3">
        <v>37</v>
      </c>
      <c r="H11" s="3">
        <v>47</v>
      </c>
      <c r="I11" s="3">
        <v>51</v>
      </c>
      <c r="J11" s="3">
        <v>55</v>
      </c>
      <c r="K11" s="3">
        <f t="shared" si="0"/>
        <v>447</v>
      </c>
      <c r="L11" s="3">
        <v>600</v>
      </c>
      <c r="M11" s="3">
        <f t="shared" si="1"/>
        <v>74.5</v>
      </c>
    </row>
    <row r="12" spans="1:13" x14ac:dyDescent="0.35">
      <c r="A12" s="3" t="s">
        <v>10</v>
      </c>
      <c r="B12" s="4" t="s">
        <v>70</v>
      </c>
      <c r="C12" s="3" t="s">
        <v>115</v>
      </c>
      <c r="D12" s="3">
        <v>59</v>
      </c>
      <c r="E12" s="3">
        <v>47</v>
      </c>
      <c r="F12" s="3">
        <v>83</v>
      </c>
      <c r="G12" s="3">
        <v>56</v>
      </c>
      <c r="H12" s="3">
        <v>57</v>
      </c>
      <c r="I12" s="3">
        <v>37</v>
      </c>
      <c r="J12" s="3">
        <v>86</v>
      </c>
      <c r="K12" s="3">
        <f t="shared" si="0"/>
        <v>425</v>
      </c>
      <c r="L12" s="3">
        <v>600</v>
      </c>
      <c r="M12" s="3">
        <f t="shared" si="1"/>
        <v>70.833333333333343</v>
      </c>
    </row>
    <row r="13" spans="1:13" x14ac:dyDescent="0.35">
      <c r="A13" s="3" t="s">
        <v>11</v>
      </c>
      <c r="B13" s="4" t="s">
        <v>71</v>
      </c>
      <c r="C13" s="3" t="s">
        <v>116</v>
      </c>
      <c r="D13" s="3">
        <v>57</v>
      </c>
      <c r="E13" s="3">
        <v>71</v>
      </c>
      <c r="F13" s="3">
        <v>58</v>
      </c>
      <c r="G13" s="3">
        <v>81</v>
      </c>
      <c r="H13" s="3">
        <v>40</v>
      </c>
      <c r="I13" s="3">
        <v>75</v>
      </c>
      <c r="J13" s="3">
        <v>91</v>
      </c>
      <c r="K13" s="3">
        <f t="shared" si="0"/>
        <v>473</v>
      </c>
      <c r="L13" s="3">
        <v>600</v>
      </c>
      <c r="M13" s="3">
        <f t="shared" si="1"/>
        <v>78.833333333333329</v>
      </c>
    </row>
    <row r="14" spans="1:13" x14ac:dyDescent="0.35">
      <c r="A14" s="3" t="s">
        <v>12</v>
      </c>
      <c r="B14" s="4" t="s">
        <v>72</v>
      </c>
      <c r="C14" s="3" t="s">
        <v>118</v>
      </c>
      <c r="D14" s="3">
        <v>55</v>
      </c>
      <c r="E14" s="3">
        <v>95</v>
      </c>
      <c r="F14" s="3">
        <v>25</v>
      </c>
      <c r="G14" s="3">
        <v>41</v>
      </c>
      <c r="H14" s="3">
        <v>50</v>
      </c>
      <c r="I14" s="3">
        <v>28</v>
      </c>
      <c r="J14" s="3">
        <v>23</v>
      </c>
      <c r="K14" s="3">
        <f t="shared" si="0"/>
        <v>317</v>
      </c>
      <c r="L14" s="3">
        <v>600</v>
      </c>
      <c r="M14" s="3">
        <f t="shared" si="1"/>
        <v>52.833333333333329</v>
      </c>
    </row>
    <row r="15" spans="1:13" x14ac:dyDescent="0.35">
      <c r="A15" s="3" t="s">
        <v>13</v>
      </c>
      <c r="B15" s="4" t="s">
        <v>73</v>
      </c>
      <c r="C15" s="3" t="s">
        <v>117</v>
      </c>
      <c r="D15" s="3">
        <v>44</v>
      </c>
      <c r="E15" s="3">
        <v>99</v>
      </c>
      <c r="F15" s="3">
        <v>71</v>
      </c>
      <c r="G15" s="3">
        <v>97</v>
      </c>
      <c r="H15" s="3">
        <v>30</v>
      </c>
      <c r="I15" s="3">
        <v>72</v>
      </c>
      <c r="J15" s="3">
        <v>67</v>
      </c>
      <c r="K15" s="3">
        <f t="shared" si="0"/>
        <v>480</v>
      </c>
      <c r="L15" s="3">
        <v>600</v>
      </c>
      <c r="M15" s="3">
        <f t="shared" si="1"/>
        <v>80</v>
      </c>
    </row>
    <row r="16" spans="1:13" x14ac:dyDescent="0.35">
      <c r="A16" s="3" t="s">
        <v>14</v>
      </c>
      <c r="B16" s="4" t="s">
        <v>74</v>
      </c>
      <c r="C16" s="3" t="s">
        <v>119</v>
      </c>
      <c r="D16" s="3">
        <v>84</v>
      </c>
      <c r="E16" s="3">
        <v>37</v>
      </c>
      <c r="F16" s="3">
        <v>67</v>
      </c>
      <c r="G16" s="3">
        <v>42</v>
      </c>
      <c r="H16" s="3">
        <v>55</v>
      </c>
      <c r="I16" s="3">
        <v>58</v>
      </c>
      <c r="J16" s="3">
        <v>28</v>
      </c>
      <c r="K16" s="3">
        <f t="shared" si="0"/>
        <v>371</v>
      </c>
      <c r="L16" s="3">
        <v>600</v>
      </c>
      <c r="M16" s="3">
        <f t="shared" si="1"/>
        <v>61.833333333333329</v>
      </c>
    </row>
    <row r="17" spans="1:13" x14ac:dyDescent="0.35">
      <c r="A17" s="3" t="s">
        <v>15</v>
      </c>
      <c r="B17" s="4" t="s">
        <v>75</v>
      </c>
      <c r="C17" s="3" t="s">
        <v>120</v>
      </c>
      <c r="D17" s="3">
        <v>84</v>
      </c>
      <c r="E17" s="3">
        <v>72</v>
      </c>
      <c r="F17" s="3">
        <v>59</v>
      </c>
      <c r="G17" s="3">
        <v>46</v>
      </c>
      <c r="H17" s="3">
        <v>58</v>
      </c>
      <c r="I17" s="3">
        <v>35</v>
      </c>
      <c r="J17" s="3">
        <v>57</v>
      </c>
      <c r="K17" s="3">
        <f t="shared" si="0"/>
        <v>411</v>
      </c>
      <c r="L17" s="3">
        <v>600</v>
      </c>
      <c r="M17" s="3">
        <f t="shared" si="1"/>
        <v>68.5</v>
      </c>
    </row>
    <row r="18" spans="1:13" x14ac:dyDescent="0.35">
      <c r="A18" s="3" t="s">
        <v>16</v>
      </c>
      <c r="B18" s="4" t="s">
        <v>76</v>
      </c>
      <c r="C18" s="3" t="s">
        <v>113</v>
      </c>
      <c r="D18" s="3">
        <v>50</v>
      </c>
      <c r="E18" s="3">
        <v>60</v>
      </c>
      <c r="F18" s="3">
        <v>88</v>
      </c>
      <c r="G18" s="3">
        <v>31</v>
      </c>
      <c r="H18" s="3">
        <v>64</v>
      </c>
      <c r="I18" s="3">
        <v>26</v>
      </c>
      <c r="J18" s="3">
        <v>74</v>
      </c>
      <c r="K18" s="3">
        <f t="shared" si="0"/>
        <v>393</v>
      </c>
      <c r="L18" s="3">
        <v>600</v>
      </c>
      <c r="M18" s="3">
        <f t="shared" si="1"/>
        <v>65.5</v>
      </c>
    </row>
    <row r="19" spans="1:13" x14ac:dyDescent="0.35">
      <c r="A19" s="3" t="s">
        <v>17</v>
      </c>
      <c r="B19" s="4" t="s">
        <v>77</v>
      </c>
      <c r="C19" s="3" t="s">
        <v>114</v>
      </c>
      <c r="D19" s="3">
        <v>44</v>
      </c>
      <c r="E19" s="3">
        <v>56</v>
      </c>
      <c r="F19" s="3">
        <v>91</v>
      </c>
      <c r="G19" s="3">
        <v>35</v>
      </c>
      <c r="H19" s="3">
        <v>40</v>
      </c>
      <c r="I19" s="3">
        <v>60</v>
      </c>
      <c r="J19" s="3">
        <v>40</v>
      </c>
      <c r="K19" s="3">
        <f t="shared" si="0"/>
        <v>366</v>
      </c>
      <c r="L19" s="3">
        <v>600</v>
      </c>
      <c r="M19" s="3">
        <f t="shared" si="1"/>
        <v>61</v>
      </c>
    </row>
    <row r="20" spans="1:13" x14ac:dyDescent="0.35">
      <c r="A20" s="3" t="s">
        <v>18</v>
      </c>
      <c r="B20" s="4" t="s">
        <v>78</v>
      </c>
      <c r="C20" s="3" t="s">
        <v>115</v>
      </c>
      <c r="D20" s="3">
        <v>97</v>
      </c>
      <c r="E20" s="3">
        <v>46</v>
      </c>
      <c r="F20" s="3">
        <v>41</v>
      </c>
      <c r="G20" s="3">
        <v>53</v>
      </c>
      <c r="H20" s="3">
        <v>66</v>
      </c>
      <c r="I20" s="3">
        <v>43</v>
      </c>
      <c r="J20" s="3">
        <v>64</v>
      </c>
      <c r="K20" s="3">
        <f t="shared" si="0"/>
        <v>410</v>
      </c>
      <c r="L20" s="3">
        <v>600</v>
      </c>
      <c r="M20" s="3">
        <f t="shared" si="1"/>
        <v>68.333333333333329</v>
      </c>
    </row>
    <row r="21" spans="1:13" x14ac:dyDescent="0.35">
      <c r="A21" s="3" t="s">
        <v>19</v>
      </c>
      <c r="B21" s="4" t="s">
        <v>110</v>
      </c>
      <c r="C21" s="3" t="s">
        <v>116</v>
      </c>
      <c r="D21" s="3">
        <v>60</v>
      </c>
      <c r="E21" s="3">
        <v>93</v>
      </c>
      <c r="F21" s="3">
        <v>60</v>
      </c>
      <c r="G21" s="3">
        <v>29</v>
      </c>
      <c r="H21" s="3">
        <v>84</v>
      </c>
      <c r="I21" s="3">
        <v>53</v>
      </c>
      <c r="J21" s="3">
        <v>37</v>
      </c>
      <c r="K21" s="3">
        <f t="shared" si="0"/>
        <v>416</v>
      </c>
      <c r="L21" s="3">
        <v>600</v>
      </c>
      <c r="M21" s="3">
        <f t="shared" si="1"/>
        <v>69.333333333333343</v>
      </c>
    </row>
    <row r="22" spans="1:13" x14ac:dyDescent="0.35">
      <c r="A22" s="3" t="s">
        <v>20</v>
      </c>
      <c r="B22" s="4" t="s">
        <v>79</v>
      </c>
      <c r="C22" s="3" t="s">
        <v>118</v>
      </c>
      <c r="D22" s="3">
        <v>59</v>
      </c>
      <c r="E22" s="3">
        <v>32</v>
      </c>
      <c r="F22" s="3">
        <v>92</v>
      </c>
      <c r="G22" s="3">
        <v>35</v>
      </c>
      <c r="H22" s="3">
        <v>30</v>
      </c>
      <c r="I22" s="3">
        <v>73</v>
      </c>
      <c r="J22" s="3">
        <v>45</v>
      </c>
      <c r="K22" s="3">
        <f t="shared" si="0"/>
        <v>366</v>
      </c>
      <c r="L22" s="3">
        <v>600</v>
      </c>
      <c r="M22" s="3">
        <f t="shared" si="1"/>
        <v>61</v>
      </c>
    </row>
    <row r="23" spans="1:13" x14ac:dyDescent="0.35">
      <c r="A23" s="3" t="s">
        <v>21</v>
      </c>
      <c r="B23" s="4" t="s">
        <v>80</v>
      </c>
      <c r="C23" s="3" t="s">
        <v>117</v>
      </c>
      <c r="D23" s="3">
        <v>66</v>
      </c>
      <c r="E23" s="3">
        <v>85</v>
      </c>
      <c r="F23" s="3">
        <v>38</v>
      </c>
      <c r="G23" s="3">
        <v>97</v>
      </c>
      <c r="H23" s="3">
        <v>89</v>
      </c>
      <c r="I23" s="3">
        <v>42</v>
      </c>
      <c r="J23" s="3">
        <v>34</v>
      </c>
      <c r="K23" s="3">
        <f t="shared" si="0"/>
        <v>451</v>
      </c>
      <c r="L23" s="3">
        <v>600</v>
      </c>
      <c r="M23" s="3">
        <f t="shared" si="1"/>
        <v>75.166666666666671</v>
      </c>
    </row>
    <row r="24" spans="1:13" x14ac:dyDescent="0.35">
      <c r="A24" s="3" t="s">
        <v>22</v>
      </c>
      <c r="B24" s="4" t="s">
        <v>81</v>
      </c>
      <c r="C24" s="3" t="s">
        <v>119</v>
      </c>
      <c r="D24" s="3">
        <v>50</v>
      </c>
      <c r="E24" s="3">
        <v>25</v>
      </c>
      <c r="F24" s="3">
        <v>33</v>
      </c>
      <c r="G24" s="3">
        <v>96</v>
      </c>
      <c r="H24" s="3">
        <v>38</v>
      </c>
      <c r="I24" s="3">
        <v>43</v>
      </c>
      <c r="J24" s="3">
        <v>53</v>
      </c>
      <c r="K24" s="3">
        <f t="shared" si="0"/>
        <v>338</v>
      </c>
      <c r="L24" s="3">
        <v>600</v>
      </c>
      <c r="M24" s="3">
        <f t="shared" si="1"/>
        <v>56.333333333333336</v>
      </c>
    </row>
    <row r="25" spans="1:13" x14ac:dyDescent="0.35">
      <c r="A25" s="3" t="s">
        <v>23</v>
      </c>
      <c r="B25" s="4" t="s">
        <v>82</v>
      </c>
      <c r="C25" s="3" t="s">
        <v>113</v>
      </c>
      <c r="D25" s="3">
        <v>83</v>
      </c>
      <c r="E25" s="3">
        <v>51</v>
      </c>
      <c r="F25" s="3">
        <v>37</v>
      </c>
      <c r="G25" s="3">
        <v>27</v>
      </c>
      <c r="H25" s="3">
        <v>33</v>
      </c>
      <c r="I25" s="3">
        <v>91</v>
      </c>
      <c r="J25" s="3">
        <v>38</v>
      </c>
      <c r="K25" s="3">
        <f t="shared" si="0"/>
        <v>360</v>
      </c>
      <c r="L25" s="3">
        <v>600</v>
      </c>
      <c r="M25" s="3">
        <f t="shared" si="1"/>
        <v>60</v>
      </c>
    </row>
    <row r="26" spans="1:13" x14ac:dyDescent="0.35">
      <c r="A26" s="3" t="s">
        <v>24</v>
      </c>
      <c r="B26" s="4" t="s">
        <v>83</v>
      </c>
      <c r="C26" s="3" t="s">
        <v>114</v>
      </c>
      <c r="D26" s="3">
        <v>31</v>
      </c>
      <c r="E26" s="3">
        <v>61</v>
      </c>
      <c r="F26" s="3">
        <v>72</v>
      </c>
      <c r="G26" s="3">
        <v>74</v>
      </c>
      <c r="H26" s="3">
        <v>40</v>
      </c>
      <c r="I26" s="3">
        <v>47</v>
      </c>
      <c r="J26" s="3">
        <v>58</v>
      </c>
      <c r="K26" s="3">
        <f t="shared" si="0"/>
        <v>383</v>
      </c>
      <c r="L26" s="3">
        <v>600</v>
      </c>
      <c r="M26" s="3">
        <f t="shared" si="1"/>
        <v>63.833333333333329</v>
      </c>
    </row>
    <row r="27" spans="1:13" x14ac:dyDescent="0.35">
      <c r="A27" s="3" t="s">
        <v>25</v>
      </c>
      <c r="B27" s="4" t="s">
        <v>84</v>
      </c>
      <c r="C27" s="3" t="s">
        <v>115</v>
      </c>
      <c r="D27" s="3">
        <v>68</v>
      </c>
      <c r="E27" s="3">
        <v>95</v>
      </c>
      <c r="F27" s="3">
        <v>54</v>
      </c>
      <c r="G27" s="3">
        <v>72</v>
      </c>
      <c r="H27" s="3">
        <v>84</v>
      </c>
      <c r="I27" s="3">
        <v>76</v>
      </c>
      <c r="J27" s="3">
        <v>90</v>
      </c>
      <c r="K27" s="3">
        <f t="shared" si="0"/>
        <v>539</v>
      </c>
      <c r="L27" s="3">
        <v>600</v>
      </c>
      <c r="M27" s="3">
        <f t="shared" si="1"/>
        <v>89.833333333333329</v>
      </c>
    </row>
    <row r="28" spans="1:13" x14ac:dyDescent="0.35">
      <c r="A28" s="3" t="s">
        <v>26</v>
      </c>
      <c r="B28" s="4" t="s">
        <v>85</v>
      </c>
      <c r="C28" s="3" t="s">
        <v>116</v>
      </c>
      <c r="D28" s="3">
        <v>93</v>
      </c>
      <c r="E28" s="3">
        <v>25</v>
      </c>
      <c r="F28" s="3">
        <v>93</v>
      </c>
      <c r="G28" s="3">
        <v>52</v>
      </c>
      <c r="H28" s="3">
        <v>66</v>
      </c>
      <c r="I28" s="3">
        <v>89</v>
      </c>
      <c r="J28" s="3">
        <v>52</v>
      </c>
      <c r="K28" s="3">
        <f t="shared" si="0"/>
        <v>470</v>
      </c>
      <c r="L28" s="3">
        <v>600</v>
      </c>
      <c r="M28" s="3">
        <f t="shared" si="1"/>
        <v>78.333333333333329</v>
      </c>
    </row>
    <row r="29" spans="1:13" x14ac:dyDescent="0.35">
      <c r="A29" s="3" t="s">
        <v>27</v>
      </c>
      <c r="B29" s="4" t="s">
        <v>86</v>
      </c>
      <c r="C29" s="3" t="s">
        <v>118</v>
      </c>
      <c r="D29" s="3">
        <v>87</v>
      </c>
      <c r="E29" s="3">
        <v>49</v>
      </c>
      <c r="F29" s="3">
        <v>52</v>
      </c>
      <c r="G29" s="3">
        <v>77</v>
      </c>
      <c r="H29" s="3">
        <v>52</v>
      </c>
      <c r="I29" s="3">
        <v>86</v>
      </c>
      <c r="J29" s="3">
        <v>28</v>
      </c>
      <c r="K29" s="3">
        <f t="shared" si="0"/>
        <v>431</v>
      </c>
      <c r="L29" s="3">
        <v>600</v>
      </c>
      <c r="M29" s="3">
        <f t="shared" si="1"/>
        <v>71.833333333333343</v>
      </c>
    </row>
    <row r="30" spans="1:13" x14ac:dyDescent="0.35">
      <c r="A30" s="3" t="s">
        <v>28</v>
      </c>
      <c r="B30" s="4" t="s">
        <v>87</v>
      </c>
      <c r="C30" s="3" t="s">
        <v>117</v>
      </c>
      <c r="D30" s="3">
        <v>91</v>
      </c>
      <c r="E30" s="3">
        <v>57</v>
      </c>
      <c r="F30" s="3">
        <v>93</v>
      </c>
      <c r="G30" s="3">
        <v>39</v>
      </c>
      <c r="H30" s="3">
        <v>79</v>
      </c>
      <c r="I30" s="3">
        <v>43</v>
      </c>
      <c r="J30" s="3">
        <v>70</v>
      </c>
      <c r="K30" s="3">
        <f t="shared" si="0"/>
        <v>472</v>
      </c>
      <c r="L30" s="3">
        <v>600</v>
      </c>
      <c r="M30" s="3">
        <f t="shared" si="1"/>
        <v>78.666666666666657</v>
      </c>
    </row>
    <row r="31" spans="1:13" x14ac:dyDescent="0.35">
      <c r="A31" s="3" t="s">
        <v>29</v>
      </c>
      <c r="B31" s="4" t="s">
        <v>88</v>
      </c>
      <c r="C31" s="3" t="s">
        <v>119</v>
      </c>
      <c r="D31" s="3">
        <v>29</v>
      </c>
      <c r="E31" s="3">
        <v>75</v>
      </c>
      <c r="F31" s="3">
        <v>66</v>
      </c>
      <c r="G31" s="3">
        <v>55</v>
      </c>
      <c r="H31" s="3">
        <v>26</v>
      </c>
      <c r="I31" s="3">
        <v>61</v>
      </c>
      <c r="J31" s="3">
        <v>76</v>
      </c>
      <c r="K31" s="3">
        <f t="shared" si="0"/>
        <v>388</v>
      </c>
      <c r="L31" s="3">
        <v>600</v>
      </c>
      <c r="M31" s="3">
        <f t="shared" si="1"/>
        <v>64.666666666666657</v>
      </c>
    </row>
    <row r="32" spans="1:13" x14ac:dyDescent="0.35">
      <c r="A32" s="3" t="s">
        <v>30</v>
      </c>
      <c r="B32" s="4" t="s">
        <v>89</v>
      </c>
      <c r="C32" s="3" t="s">
        <v>113</v>
      </c>
      <c r="D32" s="3">
        <v>64</v>
      </c>
      <c r="E32" s="3">
        <v>88</v>
      </c>
      <c r="F32" s="3">
        <v>43</v>
      </c>
      <c r="G32" s="3">
        <v>86</v>
      </c>
      <c r="H32" s="3">
        <v>34</v>
      </c>
      <c r="I32" s="3">
        <v>89</v>
      </c>
      <c r="J32" s="3">
        <v>51</v>
      </c>
      <c r="K32" s="3">
        <f t="shared" si="0"/>
        <v>455</v>
      </c>
      <c r="L32" s="3">
        <v>600</v>
      </c>
      <c r="M32" s="3">
        <f t="shared" si="1"/>
        <v>75.833333333333329</v>
      </c>
    </row>
    <row r="33" spans="1:13" x14ac:dyDescent="0.35">
      <c r="A33" s="3" t="s">
        <v>31</v>
      </c>
      <c r="B33" s="4" t="s">
        <v>90</v>
      </c>
      <c r="C33" s="3" t="s">
        <v>114</v>
      </c>
      <c r="D33" s="3">
        <v>70</v>
      </c>
      <c r="E33" s="3">
        <v>59</v>
      </c>
      <c r="F33" s="3">
        <v>54</v>
      </c>
      <c r="G33" s="3">
        <v>82</v>
      </c>
      <c r="H33" s="3">
        <v>58</v>
      </c>
      <c r="I33" s="3">
        <v>57</v>
      </c>
      <c r="J33" s="3">
        <v>60</v>
      </c>
      <c r="K33" s="3">
        <f t="shared" si="0"/>
        <v>440</v>
      </c>
      <c r="L33" s="3">
        <v>600</v>
      </c>
      <c r="M33" s="3">
        <f t="shared" si="1"/>
        <v>73.333333333333329</v>
      </c>
    </row>
    <row r="34" spans="1:13" x14ac:dyDescent="0.35">
      <c r="A34" s="3" t="s">
        <v>32</v>
      </c>
      <c r="B34" s="4" t="s">
        <v>91</v>
      </c>
      <c r="C34" s="3" t="s">
        <v>115</v>
      </c>
      <c r="D34" s="3">
        <v>39</v>
      </c>
      <c r="E34" s="3">
        <v>30</v>
      </c>
      <c r="F34" s="3">
        <v>96</v>
      </c>
      <c r="G34" s="3">
        <v>45</v>
      </c>
      <c r="H34" s="3">
        <v>86</v>
      </c>
      <c r="I34" s="3">
        <v>23</v>
      </c>
      <c r="J34" s="3">
        <v>57</v>
      </c>
      <c r="K34" s="3">
        <f t="shared" si="0"/>
        <v>376</v>
      </c>
      <c r="L34" s="3">
        <v>600</v>
      </c>
      <c r="M34" s="3">
        <f t="shared" si="1"/>
        <v>62.666666666666671</v>
      </c>
    </row>
    <row r="35" spans="1:13" x14ac:dyDescent="0.35">
      <c r="A35" s="3" t="s">
        <v>33</v>
      </c>
      <c r="B35" s="4" t="s">
        <v>92</v>
      </c>
      <c r="C35" s="3" t="s">
        <v>116</v>
      </c>
      <c r="D35" s="3">
        <v>78</v>
      </c>
      <c r="E35" s="3">
        <v>99</v>
      </c>
      <c r="F35" s="3">
        <v>97</v>
      </c>
      <c r="G35" s="3">
        <v>32</v>
      </c>
      <c r="H35" s="3">
        <v>98</v>
      </c>
      <c r="I35" s="3">
        <v>93</v>
      </c>
      <c r="J35" s="3">
        <v>55</v>
      </c>
      <c r="K35" s="3">
        <f t="shared" si="0"/>
        <v>552</v>
      </c>
      <c r="L35" s="3">
        <v>600</v>
      </c>
      <c r="M35" s="3">
        <f t="shared" si="1"/>
        <v>92</v>
      </c>
    </row>
    <row r="36" spans="1:13" x14ac:dyDescent="0.35">
      <c r="A36" s="3" t="s">
        <v>34</v>
      </c>
      <c r="B36" s="4" t="s">
        <v>93</v>
      </c>
      <c r="C36" s="3" t="s">
        <v>118</v>
      </c>
      <c r="D36" s="3">
        <v>95</v>
      </c>
      <c r="E36" s="3">
        <v>28</v>
      </c>
      <c r="F36" s="3">
        <v>75</v>
      </c>
      <c r="G36" s="3">
        <v>71</v>
      </c>
      <c r="H36" s="3">
        <v>76</v>
      </c>
      <c r="I36" s="3">
        <v>37</v>
      </c>
      <c r="J36" s="3">
        <v>89</v>
      </c>
      <c r="K36" s="3">
        <f t="shared" si="0"/>
        <v>471</v>
      </c>
      <c r="L36" s="3">
        <v>600</v>
      </c>
      <c r="M36" s="3">
        <f t="shared" si="1"/>
        <v>78.5</v>
      </c>
    </row>
    <row r="37" spans="1:13" x14ac:dyDescent="0.35">
      <c r="A37" s="3" t="s">
        <v>35</v>
      </c>
      <c r="B37" s="4" t="s">
        <v>94</v>
      </c>
      <c r="C37" s="3" t="s">
        <v>117</v>
      </c>
      <c r="D37" s="3">
        <v>93</v>
      </c>
      <c r="E37" s="3">
        <v>29</v>
      </c>
      <c r="F37" s="3">
        <v>52</v>
      </c>
      <c r="G37" s="3">
        <v>70</v>
      </c>
      <c r="H37" s="3">
        <v>54</v>
      </c>
      <c r="I37" s="3">
        <v>81</v>
      </c>
      <c r="J37" s="3">
        <v>87</v>
      </c>
      <c r="K37" s="3">
        <f t="shared" si="0"/>
        <v>466</v>
      </c>
      <c r="L37" s="3">
        <v>600</v>
      </c>
      <c r="M37" s="3">
        <f t="shared" si="1"/>
        <v>77.666666666666657</v>
      </c>
    </row>
    <row r="38" spans="1:13" x14ac:dyDescent="0.35">
      <c r="A38" s="3" t="s">
        <v>36</v>
      </c>
      <c r="B38" s="4" t="s">
        <v>95</v>
      </c>
      <c r="C38" s="3" t="s">
        <v>119</v>
      </c>
      <c r="D38" s="3">
        <v>77</v>
      </c>
      <c r="E38" s="3">
        <v>33</v>
      </c>
      <c r="F38" s="3">
        <v>71</v>
      </c>
      <c r="G38" s="3">
        <v>56</v>
      </c>
      <c r="H38" s="3">
        <v>88</v>
      </c>
      <c r="I38" s="3">
        <v>45</v>
      </c>
      <c r="J38" s="3">
        <v>30</v>
      </c>
      <c r="K38" s="3">
        <f t="shared" si="0"/>
        <v>400</v>
      </c>
      <c r="L38" s="3">
        <v>600</v>
      </c>
      <c r="M38" s="3">
        <f t="shared" si="1"/>
        <v>66.666666666666657</v>
      </c>
    </row>
    <row r="39" spans="1:13" x14ac:dyDescent="0.35">
      <c r="A39" s="3" t="s">
        <v>37</v>
      </c>
      <c r="B39" s="4" t="s">
        <v>96</v>
      </c>
      <c r="C39" s="3" t="s">
        <v>113</v>
      </c>
      <c r="D39" s="3">
        <v>32</v>
      </c>
      <c r="E39" s="3">
        <v>83</v>
      </c>
      <c r="F39" s="3">
        <v>57</v>
      </c>
      <c r="G39" s="3">
        <v>34</v>
      </c>
      <c r="H39" s="3">
        <v>23</v>
      </c>
      <c r="I39" s="3">
        <v>98</v>
      </c>
      <c r="J39" s="3">
        <v>77</v>
      </c>
      <c r="K39" s="3">
        <f t="shared" si="0"/>
        <v>404</v>
      </c>
      <c r="L39" s="3">
        <v>600</v>
      </c>
      <c r="M39" s="3">
        <f t="shared" si="1"/>
        <v>67.333333333333329</v>
      </c>
    </row>
    <row r="40" spans="1:13" x14ac:dyDescent="0.35">
      <c r="A40" s="3" t="s">
        <v>38</v>
      </c>
      <c r="B40" s="4" t="s">
        <v>97</v>
      </c>
      <c r="C40" s="3" t="s">
        <v>114</v>
      </c>
      <c r="D40" s="3">
        <v>26</v>
      </c>
      <c r="E40" s="3">
        <v>88</v>
      </c>
      <c r="F40" s="3">
        <v>87</v>
      </c>
      <c r="G40" s="3">
        <v>41</v>
      </c>
      <c r="H40" s="3">
        <v>60</v>
      </c>
      <c r="I40" s="3">
        <v>64</v>
      </c>
      <c r="J40" s="3">
        <v>24</v>
      </c>
      <c r="K40" s="3">
        <f t="shared" si="0"/>
        <v>390</v>
      </c>
      <c r="L40" s="3">
        <v>600</v>
      </c>
      <c r="M40" s="3">
        <f t="shared" si="1"/>
        <v>65</v>
      </c>
    </row>
    <row r="41" spans="1:13" x14ac:dyDescent="0.35">
      <c r="A41" s="3" t="s">
        <v>39</v>
      </c>
      <c r="B41" s="4" t="s">
        <v>98</v>
      </c>
      <c r="C41" s="3" t="s">
        <v>115</v>
      </c>
      <c r="D41" s="3">
        <v>28</v>
      </c>
      <c r="E41" s="3">
        <v>34</v>
      </c>
      <c r="F41" s="3">
        <v>62</v>
      </c>
      <c r="G41" s="3">
        <v>51</v>
      </c>
      <c r="H41" s="3">
        <v>51</v>
      </c>
      <c r="I41" s="3">
        <v>28</v>
      </c>
      <c r="J41" s="3">
        <v>42</v>
      </c>
      <c r="K41" s="3">
        <f t="shared" si="0"/>
        <v>296</v>
      </c>
      <c r="L41" s="3">
        <v>600</v>
      </c>
      <c r="M41" s="3">
        <f t="shared" si="1"/>
        <v>49.333333333333336</v>
      </c>
    </row>
    <row r="42" spans="1:13" x14ac:dyDescent="0.35">
      <c r="A42" s="3" t="s">
        <v>40</v>
      </c>
      <c r="B42" s="4" t="s">
        <v>99</v>
      </c>
      <c r="C42" s="3" t="s">
        <v>116</v>
      </c>
      <c r="D42" s="3">
        <v>49</v>
      </c>
      <c r="E42" s="3">
        <v>39</v>
      </c>
      <c r="F42" s="3">
        <v>34</v>
      </c>
      <c r="G42" s="3">
        <v>69</v>
      </c>
      <c r="H42" s="3">
        <v>35</v>
      </c>
      <c r="I42" s="3">
        <v>98</v>
      </c>
      <c r="J42" s="3">
        <v>25</v>
      </c>
      <c r="K42" s="3">
        <f t="shared" si="0"/>
        <v>349</v>
      </c>
      <c r="L42" s="3">
        <v>600</v>
      </c>
      <c r="M42" s="3">
        <f t="shared" si="1"/>
        <v>58.166666666666664</v>
      </c>
    </row>
    <row r="43" spans="1:13" x14ac:dyDescent="0.35">
      <c r="A43" s="3" t="s">
        <v>41</v>
      </c>
      <c r="B43" s="4" t="s">
        <v>100</v>
      </c>
      <c r="C43" s="3" t="s">
        <v>118</v>
      </c>
      <c r="D43" s="3">
        <v>66</v>
      </c>
      <c r="E43" s="3">
        <v>71</v>
      </c>
      <c r="F43" s="3">
        <v>85</v>
      </c>
      <c r="G43" s="3">
        <v>24</v>
      </c>
      <c r="H43" s="3">
        <v>67</v>
      </c>
      <c r="I43" s="3">
        <v>51</v>
      </c>
      <c r="J43" s="3">
        <v>52</v>
      </c>
      <c r="K43" s="3">
        <f t="shared" si="0"/>
        <v>416</v>
      </c>
      <c r="L43" s="3">
        <v>600</v>
      </c>
      <c r="M43" s="3">
        <f t="shared" si="1"/>
        <v>69.333333333333343</v>
      </c>
    </row>
    <row r="44" spans="1:13" x14ac:dyDescent="0.35">
      <c r="A44" s="3" t="s">
        <v>42</v>
      </c>
      <c r="B44" s="4" t="s">
        <v>101</v>
      </c>
      <c r="C44" s="3" t="s">
        <v>117</v>
      </c>
      <c r="D44" s="3">
        <v>76</v>
      </c>
      <c r="E44" s="3">
        <v>91</v>
      </c>
      <c r="F44" s="3">
        <v>65</v>
      </c>
      <c r="G44" s="3">
        <v>45</v>
      </c>
      <c r="H44" s="3">
        <v>82</v>
      </c>
      <c r="I44" s="3">
        <v>64</v>
      </c>
      <c r="J44" s="3">
        <v>59</v>
      </c>
      <c r="K44" s="3">
        <f t="shared" si="0"/>
        <v>482</v>
      </c>
      <c r="L44" s="3">
        <v>600</v>
      </c>
      <c r="M44" s="3">
        <f t="shared" si="1"/>
        <v>80.333333333333329</v>
      </c>
    </row>
    <row r="45" spans="1:13" x14ac:dyDescent="0.35">
      <c r="A45" s="3" t="s">
        <v>43</v>
      </c>
      <c r="B45" s="4" t="s">
        <v>102</v>
      </c>
      <c r="C45" s="3" t="s">
        <v>119</v>
      </c>
      <c r="D45" s="3">
        <v>39</v>
      </c>
      <c r="E45" s="3">
        <v>30</v>
      </c>
      <c r="F45" s="3">
        <v>36</v>
      </c>
      <c r="G45" s="3">
        <v>41</v>
      </c>
      <c r="H45" s="3">
        <v>63</v>
      </c>
      <c r="I45" s="3">
        <v>45</v>
      </c>
      <c r="J45" s="3">
        <v>89</v>
      </c>
      <c r="K45" s="3">
        <f t="shared" si="0"/>
        <v>343</v>
      </c>
      <c r="L45" s="3">
        <v>600</v>
      </c>
      <c r="M45" s="3">
        <f t="shared" si="1"/>
        <v>57.166666666666664</v>
      </c>
    </row>
    <row r="46" spans="1:13" x14ac:dyDescent="0.35">
      <c r="A46" s="3" t="s">
        <v>44</v>
      </c>
      <c r="B46" s="4" t="s">
        <v>103</v>
      </c>
      <c r="C46" s="3" t="s">
        <v>120</v>
      </c>
      <c r="D46" s="3">
        <v>58</v>
      </c>
      <c r="E46" s="3">
        <v>28</v>
      </c>
      <c r="F46" s="3">
        <v>59</v>
      </c>
      <c r="G46" s="3">
        <v>26</v>
      </c>
      <c r="H46" s="3">
        <v>57</v>
      </c>
      <c r="I46" s="3">
        <v>98</v>
      </c>
      <c r="J46" s="3">
        <v>64</v>
      </c>
      <c r="K46" s="3">
        <f t="shared" si="0"/>
        <v>390</v>
      </c>
      <c r="L46" s="3">
        <v>600</v>
      </c>
      <c r="M46" s="3">
        <f t="shared" si="1"/>
        <v>65</v>
      </c>
    </row>
    <row r="47" spans="1:13" x14ac:dyDescent="0.35">
      <c r="A47" s="3" t="s">
        <v>45</v>
      </c>
      <c r="B47" s="4" t="s">
        <v>104</v>
      </c>
      <c r="C47" s="3" t="s">
        <v>113</v>
      </c>
      <c r="D47" s="3">
        <v>34</v>
      </c>
      <c r="E47" s="3">
        <v>99</v>
      </c>
      <c r="F47" s="3">
        <v>57</v>
      </c>
      <c r="G47" s="3">
        <v>39</v>
      </c>
      <c r="H47" s="3">
        <v>94</v>
      </c>
      <c r="I47" s="3">
        <v>72</v>
      </c>
      <c r="J47" s="3">
        <v>77</v>
      </c>
      <c r="K47" s="3">
        <f t="shared" si="0"/>
        <v>472</v>
      </c>
      <c r="L47" s="3">
        <v>600</v>
      </c>
      <c r="M47" s="3">
        <f t="shared" si="1"/>
        <v>78.666666666666657</v>
      </c>
    </row>
    <row r="48" spans="1:13" x14ac:dyDescent="0.35">
      <c r="A48" s="3" t="s">
        <v>46</v>
      </c>
      <c r="B48" s="4" t="s">
        <v>105</v>
      </c>
      <c r="C48" s="3" t="s">
        <v>114</v>
      </c>
      <c r="D48" s="3">
        <v>52</v>
      </c>
      <c r="E48" s="3">
        <v>29</v>
      </c>
      <c r="F48" s="3">
        <v>80</v>
      </c>
      <c r="G48" s="3">
        <v>63</v>
      </c>
      <c r="H48" s="3">
        <v>59</v>
      </c>
      <c r="I48" s="3">
        <v>97</v>
      </c>
      <c r="J48" s="3">
        <v>46</v>
      </c>
      <c r="K48" s="3">
        <f t="shared" si="0"/>
        <v>426</v>
      </c>
      <c r="L48" s="3">
        <v>600</v>
      </c>
      <c r="M48" s="3">
        <f t="shared" si="1"/>
        <v>71</v>
      </c>
    </row>
    <row r="49" spans="1:13" x14ac:dyDescent="0.35">
      <c r="A49" s="3" t="s">
        <v>47</v>
      </c>
      <c r="B49" s="4" t="s">
        <v>106</v>
      </c>
      <c r="C49" s="3" t="s">
        <v>115</v>
      </c>
      <c r="D49" s="3">
        <v>68</v>
      </c>
      <c r="E49" s="3">
        <v>32</v>
      </c>
      <c r="F49" s="3">
        <v>80</v>
      </c>
      <c r="G49" s="3">
        <v>90</v>
      </c>
      <c r="H49" s="3">
        <v>98</v>
      </c>
      <c r="I49" s="3">
        <v>34</v>
      </c>
      <c r="J49" s="3">
        <v>86</v>
      </c>
      <c r="K49" s="3">
        <f t="shared" si="0"/>
        <v>488</v>
      </c>
      <c r="L49" s="3">
        <v>600</v>
      </c>
      <c r="M49" s="3">
        <f t="shared" si="1"/>
        <v>81.333333333333329</v>
      </c>
    </row>
    <row r="50" spans="1:13" x14ac:dyDescent="0.35">
      <c r="A50" s="3" t="s">
        <v>48</v>
      </c>
      <c r="B50" s="4" t="s">
        <v>107</v>
      </c>
      <c r="C50" s="3" t="s">
        <v>116</v>
      </c>
      <c r="D50" s="3">
        <v>42</v>
      </c>
      <c r="E50" s="3">
        <v>86</v>
      </c>
      <c r="F50" s="3">
        <v>92</v>
      </c>
      <c r="G50" s="3">
        <v>61</v>
      </c>
      <c r="H50" s="3">
        <v>58</v>
      </c>
      <c r="I50" s="3">
        <v>81</v>
      </c>
      <c r="J50" s="3">
        <v>49</v>
      </c>
      <c r="K50" s="3">
        <f t="shared" si="0"/>
        <v>469</v>
      </c>
      <c r="L50" s="3">
        <v>600</v>
      </c>
      <c r="M50" s="3">
        <f t="shared" si="1"/>
        <v>78.166666666666657</v>
      </c>
    </row>
    <row r="51" spans="1:13" x14ac:dyDescent="0.35">
      <c r="A51" s="3" t="s">
        <v>49</v>
      </c>
      <c r="B51" s="4" t="s">
        <v>108</v>
      </c>
      <c r="C51" s="3" t="s">
        <v>118</v>
      </c>
      <c r="D51" s="3">
        <v>88</v>
      </c>
      <c r="E51" s="3">
        <v>44</v>
      </c>
      <c r="F51" s="3">
        <v>69</v>
      </c>
      <c r="G51" s="3">
        <v>23</v>
      </c>
      <c r="H51" s="3">
        <v>58</v>
      </c>
      <c r="I51" s="3">
        <v>75</v>
      </c>
      <c r="J51" s="3">
        <v>57</v>
      </c>
      <c r="K51" s="3">
        <f t="shared" si="0"/>
        <v>414</v>
      </c>
      <c r="L51" s="3">
        <v>600</v>
      </c>
      <c r="M51" s="3">
        <f t="shared" si="1"/>
        <v>69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Raw-sheet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vinay gogula</dc:creator>
  <cp:lastModifiedBy>vinay gogula</cp:lastModifiedBy>
  <dcterms:created xsi:type="dcterms:W3CDTF">2025-05-19T10:12:26Z</dcterms:created>
  <dcterms:modified xsi:type="dcterms:W3CDTF">2025-05-21T05:11:01Z</dcterms:modified>
</cp:coreProperties>
</file>